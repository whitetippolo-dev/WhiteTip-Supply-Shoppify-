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view" sheetId="2" state="visible" r:id="rId4"/>
    <sheet name="Spraydeck sizing" sheetId="3" state="visible" r:id="rId5"/>
    <sheet name="Questions" sheetId="4" state="visible" r:id="rId6"/>
    <sheet name="Sources" sheetId="5" state="visible" r:id="rId7"/>
  </sheets>
  <definedNames>
    <definedName function="false" hidden="true" localSheetId="1" name="_xlnm._FilterDatabase" vbProcedure="false">Review!$A$1:$Q$55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<sst xmlns="http://schemas.openxmlformats.org/spreadsheetml/2006/main" count="877" uniqueCount="565">
  <si>
    <t xml:space="preserve">Issue 5 – Product descriptions, SEO and spraydeck sizing: review sheet</t>
  </si>
  <si>
    <t xml:space="preserve">Prepared 7 Oct 2026 for WhiteTip Polo Supply. Nothing in this file is live yet.</t>
  </si>
  <si>
    <t xml:space="preserve">How to review</t>
  </si>
  <si>
    <t xml:space="preserve">1. Go to the "Review" tab. Each row is one product (54 in total).</t>
  </si>
  <si>
    <t xml:space="preserve">2. Read the Description, SEO title, Meta description, Specifications and Sizing columns.</t>
  </si>
  <si>
    <t xml:space="preserve">3. In the yellow "Your decision" column, choose Approve, Edit or Hold. Put any changes in the yellow "Your notes" column.</t>
  </si>
  <si>
    <t xml:space="preserve">4. Rows marked Check or Hold have questions in the "Questions for you" column. Answer them in "Your notes".</t>
  </si>
  <si>
    <t xml:space="preserve">5. Send the file back. I will apply approved rows only, then spot-check the live pages.</t>
  </si>
  <si>
    <t xml:space="preserve">Status legend</t>
  </si>
  <si>
    <t xml:space="preserve">Ready: all figures verified from manufacturer or retailer sources; no questions.</t>
  </si>
  <si>
    <t xml:space="preserve">Check: copy is usable, but there is a question to confirm (variant, model mapping, etc.).</t>
  </si>
  <si>
    <t xml:space="preserve">Hold: not enough verified information, or the product identity is doubtful. Do not publish yet.</t>
  </si>
  <si>
    <t xml:space="preserve">Notes</t>
  </si>
  <si>
    <t xml:space="preserve">• SEO title limit is 60 characters and meta description limit is 155. The "chars" columns count them live and turn red if over.</t>
  </si>
  <si>
    <t xml:space="preserve">• Specs will be published as a table inside each description. The theme's Specifications block reads a "custom.specs" field that was never set up in the store.</t>
  </si>
  <si>
    <t xml:space="preserve">• Copy is paraphrased (not copied) from manufacturer pages, in Australian English. No lead times are stated, per the pre-order setup.</t>
  </si>
  <si>
    <t xml:space="preserve">• Sources tab: every figure traces to a listed URL. JEM's website (jem-racing.co.uk) is blocked by this environment's network allowlist, so all JEM rows are on Hold.</t>
  </si>
  <si>
    <t xml:space="preserve">• Example row: row 2 of Review (Vortex Synergy) shows the expected format for edits.</t>
  </si>
  <si>
    <t xml:space="preserve">#</t>
  </si>
  <si>
    <t xml:space="preserve">Handle</t>
  </si>
  <si>
    <t xml:space="preserve">Current title</t>
  </si>
  <si>
    <t xml:space="preserve">Vendor</t>
  </si>
  <si>
    <t xml:space="preserve">Price AUD</t>
  </si>
  <si>
    <t xml:space="preserve">Status</t>
  </si>
  <si>
    <t xml:space="preserve">Questions for you</t>
  </si>
  <si>
    <t xml:space="preserve">Proposed SEO title</t>
  </si>
  <si>
    <t xml:space="preserve">Chars</t>
  </si>
  <si>
    <t xml:space="preserve">Proposed meta description</t>
  </si>
  <si>
    <t xml:space="preserve">Proposed description</t>
  </si>
  <si>
    <t xml:space="preserve">Specifications</t>
  </si>
  <si>
    <t xml:space="preserve">Sizing</t>
  </si>
  <si>
    <t xml:space="preserve">Sources</t>
  </si>
  <si>
    <t xml:space="preserve">Your decision</t>
  </si>
  <si>
    <t xml:space="preserve">Your notes</t>
  </si>
  <si>
    <t xml:space="preserve">vortex-polo-kayak</t>
  </si>
  <si>
    <t xml:space="preserve">Vortex Synergy</t>
  </si>
  <si>
    <t xml:space="preserve">Vortex</t>
  </si>
  <si>
    <t xml:space="preserve">Check</t>
  </si>
  <si>
    <t xml:space="preserve">Which layup are we selling: Pro-carbon (Vortex RRP €2,395) or Carbon-Kevlar (€2,145)? Weight differs by layup. Also: sizes XS/S/M/L are not set up as variants – do you want a Size option added?</t>
  </si>
  <si>
    <t xml:space="preserve">Vortex Synergy Polo Kayak | WhiteTip Polo Supply</t>
  </si>
  <si>
    <t xml:space="preserve">Vortex Synergy canoe polo kayak: seamless-infusion carbon build, fast hull, sharp turning and a higher, comfier cockpit. 4 sizes. Pre-order in Australia.</t>
  </si>
  <si>
    <t xml:space="preserve">Built for players who want to be first to the ball. The Vortex Synergy pairs a proven high-speed polo hull with a turning profile Vortex reworked to spin quicker without giving away straight-line pace.
Vortex raised the cockpit and seat area for comfort, stability and control, and the higher knee angle lets you put more power into sprints, turns and every move in between.
• Fast hull, tuned for quick turns
• Higher cockpit and seat for comfort and control
• Seamless infusion construction, strong, stiff and long lasting
• Four sizes matched to paddler weight
• Free footrest included (per Vortex)
• Made by Vortex (Double Dutch Sports, Netherlands), an ICF-registered canoe polo manufacturer
Choose your size by paddler weight (see the size table). Vortex notes ±5 kg depending on personal preference. Not sure? Send us your weight and height and we'll help.</t>
  </si>
  <si>
    <t xml:space="preserve">Length × width × depth: XS/S: 296 × 57.5 × 25.5 cm · M: 298 × 60 × 27 cm · L: 298 × 61.5 × 28.5 cm
Paddler weight: XS 45–60 kg · S 60–70 kg · M 70–85 kg · L 85–95 kg (±5 kg)
Boat weight: Pro-carbon: 10.5 kg (XS–M), 10.9 kg (L) · Carbon-Kevlar: 11.5 kg (XS/S), 12.5 kg (M)
Construction: Seamless infusion, Pro-carbon or Carbon-Kevlar
Included: Footrest</t>
  </si>
  <si>
    <t xml:space="preserve">Sizes by paddler weight: XS 45–60 kg, S 60–70 kg, M 70–85 kg, L 85–95 kg. Carbon-Kevlar not offered in L.</t>
  </si>
  <si>
    <t xml:space="preserve">https://vortexkayaks.com/products/product/synergy-pro-carbon
https://vortexkayaks.com/products/product/sunergycarb-kev
https://paddleworldwide.com/disciplines/canoe-polo/manufacturer-scheme</t>
  </si>
  <si>
    <t xml:space="preserve">jem-apollo-carbon-kevlar</t>
  </si>
  <si>
    <t xml:space="preserve">JEM Apollo Carbon Kevlar</t>
  </si>
  <si>
    <t xml:space="preserve">Jem Kayaks</t>
  </si>
  <si>
    <t xml:space="preserve">Hold</t>
  </si>
  <si>
    <t xml:space="preserve">JEM's site (jem-racing.co.uk) is blocked by this environment's network allowlist, and no other source lists Apollo dimensions, weights or paddler ranges. Either allow that domain or send me JEM's spec sheet. Also confirm how the four Apollo builds differ (layup, weight, Team spec).</t>
  </si>
  <si>
    <t xml:space="preserve">JEM Apollo Carbon Kevlar Polo Kayak | WhiteTip Polo Supply</t>
  </si>
  <si>
    <t xml:space="preserve">JEM Apollo canoe polo kayak, Carbon/Kevlar build, from ICF-registered UK maker JEM Race Composites. Pre-order in Australia.</t>
  </si>
  <si>
    <t xml:space="preserve">The JEM Apollo is a competition canoe polo kayak from JEM Race Composites in the UK, a manufacturer registered under the ICF Canoe Polo Manufacturer Scheme. This build is Carbon/Kevlar.
[Hull character, sizing and weight to be added once JEM's specifications are confirmed.]
• Competition polo kayak from an ICF-registered manufacturer
• Carbon/Kevlar construction
• Ordered in for you from the UK</t>
  </si>
  <si>
    <t xml:space="preserve">Construction: Carbon/Kevlar
Dimensions / weight / paddler range: TBC – awaiting JEM spec sheet</t>
  </si>
  <si>
    <t xml:space="preserve">TBC</t>
  </si>
  <si>
    <t xml:space="preserve">https://paddleworldwide.com/disciplines/canoe-polo/manufacturer-scheme</t>
  </si>
  <si>
    <t xml:space="preserve">jem-apollo-aracarr</t>
  </si>
  <si>
    <t xml:space="preserve">JEM Apollo Aracarr</t>
  </si>
  <si>
    <t xml:space="preserve">JEM Apollo Aracarr Polo Kayak | WhiteTip Polo Supply</t>
  </si>
  <si>
    <t xml:space="preserve">JEM Apollo canoe polo kayak, Carbon/Aracarr build, from ICF-registered UK maker JEM Race Composites. Pre-order in Australia.</t>
  </si>
  <si>
    <t xml:space="preserve">The JEM Apollo is a competition canoe polo kayak from JEM Race Composites in the UK, a manufacturer registered under the ICF Canoe Polo Manufacturer Scheme. This build is Carbon/Aracarr.
[Hull character, sizing and weight to be added once JEM's specifications are confirmed.]
• Competition polo kayak from an ICF-registered manufacturer
• Carbon/Aracarr construction
• Ordered in for you from the UK</t>
  </si>
  <si>
    <t xml:space="preserve">Construction: Carbon/Aracarr
Dimensions / weight / paddler range: TBC – awaiting JEM spec sheet</t>
  </si>
  <si>
    <t xml:space="preserve">jem-apollo-aracarr-team</t>
  </si>
  <si>
    <t xml:space="preserve">JEM Apollo Aracarr Team</t>
  </si>
  <si>
    <t xml:space="preserve">JEM Apollo Aracarr Team Polo Kayak | WhiteTip Polo Supply</t>
  </si>
  <si>
    <t xml:space="preserve">JEM Apollo canoe polo kayak, Carbon/Aracarr, Team spec build, from ICF-registered UK maker JEM Race Composites. Pre-order in Australia.</t>
  </si>
  <si>
    <t xml:space="preserve">The JEM Apollo is a competition canoe polo kayak from JEM Race Composites in the UK, a manufacturer registered under the ICF Canoe Polo Manufacturer Scheme. This build is Carbon/Aracarr, Team spec.
[Hull character, sizing and weight to be added once JEM's specifications are confirmed.]
• Competition polo kayak from an ICF-registered manufacturer
• Carbon/Aracarr, Team spec construction
• Ordered in for you from the UK</t>
  </si>
  <si>
    <t xml:space="preserve">Construction: Carbon/Aracarr, Team spec
Dimensions / weight / paddler range: TBC – awaiting JEM spec sheet</t>
  </si>
  <si>
    <t xml:space="preserve">jem-apollo-carbon-elite-infusion</t>
  </si>
  <si>
    <t xml:space="preserve">JEM Apollo Carbon Elite Infusion</t>
  </si>
  <si>
    <t xml:space="preserve">JEM Apollo Carbon Elite Infusion Kayak | WhiteTip Polo</t>
  </si>
  <si>
    <t xml:space="preserve">JEM Apollo canoe polo kayak, Carbon, Elite infusion build, from ICF-registered UK maker JEM Race Composites. Pre-order in Australia.</t>
  </si>
  <si>
    <t xml:space="preserve">The JEM Apollo is a competition canoe polo kayak from JEM Race Composites in the UK, a manufacturer registered under the ICF Canoe Polo Manufacturer Scheme. This build is Carbon, Elite infusion.
[Hull character, sizing and weight to be added once JEM's specifications are confirmed.]
• Competition polo kayak from an ICF-registered manufacturer
• Carbon, Elite infusion construction
• Ordered in for you from the UK</t>
  </si>
  <si>
    <t xml:space="preserve">Construction: Carbon, Elite infusion
Dimensions / weight / paddler range: TBC – awaiting JEM spec sheet</t>
  </si>
  <si>
    <t xml:space="preserve">lettmann-sting-pe-polo-kayak</t>
  </si>
  <si>
    <t xml:space="preserve">Lettmann Sting PE Polo Kayak</t>
  </si>
  <si>
    <t xml:space="preserve">Lettmann</t>
  </si>
  <si>
    <t xml:space="preserve">Ready</t>
  </si>
  <si>
    <t xml:space="preserve">Lettmann Sting PE Polo Kayak | WhiteTip Polo Supply</t>
  </si>
  <si>
    <t xml:space="preserve">Lettmann Sting PE: tough polyethylene polo kayak for club and junior play. 50–90 kg paddlers, integrated bumpers, 13.5 kg. Pre-order in Australia.</t>
  </si>
  <si>
    <t xml:space="preserve">Lettmann's fast, flat-turning Sting race shape in tough polyethylene: the ideal club, school and development boat that still plays like a competition kayak.
One boat covers a huge range of players. Lettmann designed the Sting PE for paddlers from 50 to 90 kg, so a single club boat suits juniors and adults alike, and its rotomoulded hull shrugs off the knocks that come with polo.
• Quick, manoeuvrable and low-riding for full control in dynamic play
• Suits paddlers 50–90 kg
• Two integrated ICF-approved bumpers
• Trimmable Rodeo 36 seat, integrated thigh braces and Contour backband
• Foam supports front and rear
• From Lettmann (Germany), an ICF-registered canoe polo manufacturer
Footrests are set to your height. Tell us your height at checkout. Pair it with a Lettmann Rock or X-trem spraycover (polo cockpit size S).</t>
  </si>
  <si>
    <t xml:space="preserve">Length × width: 299 × 58.5 cm
Paddler weight: 50–90 kg
Cockpit (inside): 71 cm
Cockpit (outside): 76.5 × 43 cm
Weight: 13.5 kg
Material: Polyethylene (PE)
Fit-out: 2 integrated bumpers, Rodeo 36 PE seat, integrated thigh braces, Contour backband, front/rear foam supports</t>
  </si>
  <si>
    <t xml:space="preserve">Spraydeck: Lettmann polo cockpit size S; choose waist tube XS–XL.</t>
  </si>
  <si>
    <t xml:space="preserve">https://lettmann-shop.de/boote/kajak-einer/wettkampf-kajak/kanu-polo/3845/blade-pe-club
https://lettmann-shop.de/media/pdf/90/bf/01/Spritzdeckengroessenkajaks2.pdf
https://paddleworldwide.com/disciplines/canoe-polo/manufacturer-scheme</t>
  </si>
  <si>
    <t xml:space="preserve">lettmann-granate-polo-kayak</t>
  </si>
  <si>
    <t xml:space="preserve">Lettmann Granate Polo Kayak</t>
  </si>
  <si>
    <t xml:space="preserve">Lettmann lists the Granate as a WHITEWATER creek boat, not a polo kayak, and says it is no longer built (one red Club-spec boat left, €499). Listed here at $4,000 as a "Polo Kayak". Please confirm what this product is meant to be (e.g. a Lettmann Strike, Blade 4 or Fighter polo boat?) before any copy goes live.</t>
  </si>
  <si>
    <t xml:space="preserve">Lettmann Granate Kayak | WhiteTip Polo Supply</t>
  </si>
  <si>
    <t xml:space="preserve">[On hold – product identity to be confirmed. See flag.]</t>
  </si>
  <si>
    <t xml:space="preserve">https://lettmann-shop.de/angeboote/auslaufmodelle/3967/granate-m-club
https://lettmann-shop.de/media/pdf/90/bf/01/Spritzdeckengroessenkajaks2.pdf</t>
  </si>
  <si>
    <t xml:space="preserve">the-dude-95</t>
  </si>
  <si>
    <t xml:space="preserve">The Dude 95</t>
  </si>
  <si>
    <t xml:space="preserve">This is a whitewater creek boat (not polo). Confirm Creek or Race fit-out (weights differ: 23 / 21.5 kg). SKUs still missing (issue 14).</t>
  </si>
  <si>
    <t xml:space="preserve">Lettmann The Dude 95 Whitewater Kayak | WhiteTip Polo Supply</t>
  </si>
  <si>
    <t xml:space="preserve">Lettmann The Dude 95 creek kayak: 275 cm, 365 L, 140 kg capacity. Dry over boils, easy to edge, roomy cockpit for big paddlers. Pre-order now.</t>
  </si>
  <si>
    <t xml:space="preserve">Want rocker, boof and a boat you can trust at any grade? The Dude 95 is Lettmann's big-water creeker, developed and tested over twelve months by their team paddlers before release.
A refined hull with innovative edges gives The Dude high stability in any water while staying easier to edge than other creekers of similar width. The rockered bow keeps it running dry over boils and pushy water, it skips out of holes and lands softly off drops, and it holds a fast line while still letting you correct course mid-rapid.
The cockpit is designed for larger paddlers, with generous leg and knee room. It rewards modern technique but won't leave you hanging if you're early in your whitewater career.
• 365 litres total volume, 140 kg capacity
• Alloy safety grabs front and rear, plus extra grabs around the cockpit
• Drain plug, 3D bulkhead, centre rail, front and rear foam supports
• Adjustable thigh braces and ratchet backband with Contour padding
• Available in Yellow, Purple, Red and Blue</t>
  </si>
  <si>
    <t xml:space="preserve">Length × width: 275 × 69 cm
Capacity: 140 kg
Volume: 365 L
Cockpit (inside / outside): 89 cm / 96 cm
Weight: Creek 23 kg · Race 21.5 kg
Material: Polyethylene</t>
  </si>
  <si>
    <t xml:space="preserve">https://lettmann-shop.de/boote/kajak-einer/wildwasser-kajak/creeker/3902/the-dude-95</t>
  </si>
  <si>
    <t xml:space="preserve">vortex-paddle-full</t>
  </si>
  <si>
    <t xml:space="preserve">Vortex Paddle Full</t>
  </si>
  <si>
    <t xml:space="preserve">Which blade and shaft make up the "full" paddle? Vortex sells Ignite, Twinspine and Kinetic blades on X32–X38 shafts. Copy is generic until confirmed.</t>
  </si>
  <si>
    <t xml:space="preserve">Vortex Polo Paddle – Complete | WhiteTip Polo Supply</t>
  </si>
  <si>
    <t xml:space="preserve">Complete Vortex canoe polo paddle: foam-core carbon blades with a 6 mm hard-core edge, fitted to a Vortex shaft. 2-year blade warranty. Pre-order.</t>
  </si>
  <si>
    <t xml:space="preserve">Ready to play out of the box: Vortex carbon polo blades fitted to a Vortex shaft and assembled for you.
Every Vortex blade is foam-core pressure-moulded from aerospace-grade carbon, with a 6 mm hard-core inner edge built to take years of hard club and competition use. Vortex backs its blades with a 2-year warranty against manufacturing faults.
• Foam-core carbon blades, strong and light
• 6 mm hard-core edge reinforcement
• Vortex shaft, approx. 27 mm ID / 30 mm OD
• 2-year manufacturer warranty on blades
• Tell us your preferred length and feather angle when ordering</t>
  </si>
  <si>
    <t xml:space="preserve">Blade: TBC
Shaft: TBC
Warranty: 2 years on blades (manufacturing faults)</t>
  </si>
  <si>
    <t xml:space="preserve">https://vortexkayaks.com/products/product/ingite-pro-carbon-lite
https://vortexkayaks.com/products/product/x34-shaft</t>
  </si>
  <si>
    <t xml:space="preserve">vortex-ignite-lite-blade-kevlar-edge</t>
  </si>
  <si>
    <t xml:space="preserve">Vortex Ignite Lite Blade (kevlar edge)</t>
  </si>
  <si>
    <t xml:space="preserve">Sold as a blade set (2 blades)? Copy assumes a set.</t>
  </si>
  <si>
    <t xml:space="preserve">Vortex Ignite Polo Blades – Kevlar Edge | WhiteTip Polo</t>
  </si>
  <si>
    <t xml:space="preserve">Vortex Ignite carbon polo blades with Kevlar-taped edge: scooped power face, smooth back for ball control. 776 cm², ~320 g. Pre-order.</t>
  </si>
  <si>
    <t xml:space="preserve">The Ignite is Vortex's most popular blade shape, and one of the most-used polo blades in the world. A scooped power face grips the water and stays stable through the stroke, while the smooth back gives you soft, confident ball control.
This version adds a Kevlar-taped outer edge on top of the 6 mm carbon-core internal edge, for even longer life in the contact zone. The size and shape suit men and women at every level, from first season to world-class.
Every Vortex blade is foam-core pressure-moulded with aerospace-grade carbon and a 6 mm hard-core inner edge, so it stays strong and light for years of intensive play. Vortex backs its blades with a 2-year warranty against manufacturing faults.
• Scooped front for power, smooth back for ball control
• Kevlar-taped outer edge + 6 mm hard-core inner edge
• Fits shafts of approx. 27 mm ID
• Add a Vortex shaft and our assembly service for a ready-to-play paddle</t>
  </si>
  <si>
    <t xml:space="preserve">Blade area: 776 cm²
Blade weight: approx. 320 g
Complete paddle weight: approx. 850 g (depends on length and shaft)
Construction: Pro-carbon, foam core, 6 mm internal edge + Kevlar tape edge
Warranty: 2 years (manufacturing faults)</t>
  </si>
  <si>
    <t xml:space="preserve">https://vortexkayaks.com/products/product/ingite-pro-carbon-lite</t>
  </si>
  <si>
    <t xml:space="preserve">vortex-ignite-lite-blade-internal-edge</t>
  </si>
  <si>
    <t xml:space="preserve">Vortex Ignite Lite Blade (internal edge)</t>
  </si>
  <si>
    <t xml:space="preserve">Vortex Ignite Polo Blades – Internal Edge | WhiteTip Polo</t>
  </si>
  <si>
    <t xml:space="preserve">Vortex Ignite carbon polo blades, internal-edge version: lighter, clean edge, scooped power face. 776 cm², ~320 g. Pre-order in Australia.</t>
  </si>
  <si>
    <t xml:space="preserve">The world's favourite polo blade shape in its cleanest form. The Ignite's scooped face delivers power and stability through every stroke, and its smooth back gives you full control when stopping and carrying the ball.
The internal-edge version relies on Vortex's very hard-wearing 6 mm carbon-core edge, with no external tape, for a clean, light blade. Suited to men and women at all levels.
Every Vortex blade is foam-core pressure-moulded with aerospace-grade carbon and a 6 mm hard-core inner edge, so it stays strong and light for years of intensive play. Vortex backs its blades with a 2-year warranty against manufacturing faults.
• Scooped front for power, smooth back for ball control
• 6 mm carbon-core internal edge
• Fits shafts of approx. 27 mm ID</t>
  </si>
  <si>
    <t xml:space="preserve">Blade area: 776 cm²
Blade weight: approx. 320 g
Complete paddle weight: approx. 840 g (depends on length and shaft)
Construction: Pro-carbon, foam core, 6 mm internal edge
Warranty: 2 years (manufacturing faults)</t>
  </si>
  <si>
    <t xml:space="preserve">https://vortexkayaks.com/products/product/ignite-inter</t>
  </si>
  <si>
    <t xml:space="preserve">vortex-twinspine-blade-kevlar-edge</t>
  </si>
  <si>
    <t xml:space="preserve">Vortex Twinspine Blade (kevlar edge)</t>
  </si>
  <si>
    <t xml:space="preserve">Vortex Twinspine Polo Blades – Kevlar Edge | WhiteTip Polo</t>
  </si>
  <si>
    <t xml:space="preserve">Vortex Twinspine polo blades: unique double-concave shape, scooped power face, twin-spine back for ball stops. 776 cm², ~330 g. Pre-order.</t>
  </si>
  <si>
    <t xml:space="preserve">Something different. The Twinspine is Vortex's unique double-concave design: a scooped front for maximum power and a twin-spine back that gives you extra control when you stop the ball.
Designed for every position on the field, with a Kevlar-taped outer edge over the 6 mm carbon-core internal edge for added durability.
Every Vortex blade is foam-core pressure-moulded with aerospace-grade carbon and a 6 mm hard-core inner edge, so it stays strong and light for years of intensive play. Vortex backs its blades with a 2-year warranty against manufacturing faults.
• Unique double-concave blade shape
• Kevlar-taped outer edge + 6 mm hard-core inner edge
• Fits shafts of approx. 27 mm ID</t>
  </si>
  <si>
    <t xml:space="preserve">Blade area: 776 cm²
Blade weight: approx. 330 g
Complete paddle weight: approx. 860 g (depends on length and shaft)
Construction: Pro-carbon, foam core, 6 mm internal edge + Kevlar tape edge
Warranty: 2 years (manufacturing faults)</t>
  </si>
  <si>
    <t xml:space="preserve">https://vortexkayaks.com/products/product/twinspine-pro-carbon</t>
  </si>
  <si>
    <t xml:space="preserve">vortex-kinetic-hd-blade-kevlar-edge</t>
  </si>
  <si>
    <t xml:space="preserve">Vortex Kinetic HD Blade (kevlar edge)</t>
  </si>
  <si>
    <t xml:space="preserve">Vortex Kinetic HD Polo Blades – Kevlar Edge | WhiteTip Polo</t>
  </si>
  <si>
    <t xml:space="preserve">Vortex Kinetic HD polo blades: the classic, famously strong shape with extra-durable HD carbon and Kevlar edge. Ideal for club use. Pre-order.</t>
  </si>
  <si>
    <t xml:space="preserve">A classic that's still hugely popular. Double Dutch designed the Kinetic shape years ago and it has become one of the most copied polo blades around, prized for its feel, ball control and strength.
The HD version is extra strong for very little extra weight, making it perfect for hard-working club paddles. It has a 6 mm Kevlar-reinforced integrated edge plus a black Kevlar outer edge to protect both paddle and player.
Every Vortex blade is foam-core pressure-moulded with aerospace-grade carbon and a 6 mm hard-core inner edge, so it stays strong and light for years of intensive play. Vortex backs its blades with a 2-year warranty against manufacturing faults.
• Classic Kinetic shape: feel, control and strength
• HD carbon construction for intensive club use
• Integrated edge + Kevlar outer edge
• Fits shafts of approx. 27 mm ID</t>
  </si>
  <si>
    <t xml:space="preserve">Blade area: 770 cm²
Blade weight: approx. 340 g
Complete paddle weight: approx. 890 g (depends on length and shaft)
Construction: HD Pro-carbon, foam core, 6 mm edge + Kevlar tape edge
Warranty: 2 years (manufacturing faults)</t>
  </si>
  <si>
    <t xml:space="preserve">https://vortexkayaks.com/products/product/kinetic-paddle</t>
  </si>
  <si>
    <t xml:space="preserve">vortex-kinetic-blade-small-kevlar-edge</t>
  </si>
  <si>
    <t xml:space="preserve">Vortex Kinetic Blade Small (kevlar edge)</t>
  </si>
  <si>
    <t xml:space="preserve">Vortex Kinetic Small Polo Blades | WhiteTip Polo Supply</t>
  </si>
  <si>
    <t xml:space="preserve">Vortex Kinetic Small polo blades: smaller 664 cm² face for juniors and lighter players. Faster acceleration, Kevlar edge, ~305 g. Pre-order.</t>
  </si>
  <si>
    <t xml:space="preserve">Why should a 55 kg player use the same blade as a 90 kg one? The Kinetic Small is Vortex's answer: a reduced blade area so smaller and lighter players can accelerate faster and keep their stroke rate up.
Same trusted Kinetic shape and feel, with a Kevlar-taped outer edge over the 6 mm carbon-core internal edge. Vortex built it to be among the strongest, not the lightest. Pair it with the X33 Ultra Lite shaft (our Vortex Shaft Ultra Lite 190) for a very light junior paddle.
Every Vortex blade is foam-core pressure-moulded with aerospace-grade carbon and a 6 mm hard-core inner edge, so it stays strong and light for years of intensive play. Vortex backs its blades with a 2-year warranty against manufacturing faults.
• Smaller blade for juniors and lighter paddlers
• Kevlar-taped outer edge + 6 mm hard-core inner edge
• Pairs with the Ultra Lite 190 shaft</t>
  </si>
  <si>
    <t xml:space="preserve">Blade area: 664 cm²
Blade weight: approx. 305 g
Complete paddle weight: approx. 795 g (depends on length and shaft)
Construction: Pro-carbon, foam core, 6 mm edge + Kevlar tape edge
Warranty: 2 years (manufacturing faults)</t>
  </si>
  <si>
    <t xml:space="preserve">https://vortexkayaks.com/products/product/kineticsmall</t>
  </si>
  <si>
    <t xml:space="preserve">vortex-ignite-silverteq-hd-blade</t>
  </si>
  <si>
    <t xml:space="preserve">Vortex Ignite Silverteq HD Blade</t>
  </si>
  <si>
    <t xml:space="preserve">"Silverteq HD" is not listed on Vortex's current site. The only related figures I found are for the older Ignite (ex-Double Dutch Force): M-Large, 745 cm², 47 cm blade length, via jcpolo.co.nz. Please confirm the model from your Vortex price list.</t>
  </si>
  <si>
    <t xml:space="preserve">Vortex Ignite Silverteq HD Polo Blades | WhiteTip Polo</t>
  </si>
  <si>
    <t xml:space="preserve">Vortex Ignite Silverteq HD polo blades: scooped Ignite power face, smooth back for control, heavy-duty build with Kevlar edge. Pre-order in Australia.</t>
  </si>
  <si>
    <t xml:space="preserve">The Ignite shape in a heavy-duty build. Its scooped front gives maximum power and the foam-core pressure-moulded construction keeps the blade strong and light.
A 6 mm Kevlar inner edge plus a black Kevlar outer edge protects the paddle, and the player, in contact play.
• Scooped Ignite power face
• Kevlar inner and outer edge protection
• Fits shafts of approx. 27 mm ID</t>
  </si>
  <si>
    <t xml:space="preserve">Blade size: M-Large, 745 cm², 47 cm long (older Ignite figures – to confirm)</t>
  </si>
  <si>
    <t xml:space="preserve">https://jcpolo.co.nz/products/double-dutch-force-polo-paddle</t>
  </si>
  <si>
    <t xml:space="preserve">vortex-single-blade-any-model</t>
  </si>
  <si>
    <t xml:space="preserve">Vortex Single Blade (any model)</t>
  </si>
  <si>
    <t xml:space="preserve">Vortex Single Replacement Polo Blade | WhiteTip Polo Supply</t>
  </si>
  <si>
    <t xml:space="preserve">Single replacement Vortex polo blade, any model (Ignite, Twinspine, Kinetic, Kinetic Small). Left or right. Get your paddle back in the game.</t>
  </si>
  <si>
    <t xml:space="preserve">Broke one blade? Don't replace the whole paddle. We can order a single Vortex blade in any current model (Ignite, Twinspine, Kinetic HD or Kinetic Small), left or right.
Tell us the model, edge type and side when you order. Add our blade + shaft assembly service and we'll fit it for you.
Every Vortex blade is foam-core pressure-moulded with aerospace-grade carbon and a 6 mm hard-core inner edge, so it stays strong and light for years of intensive play. Vortex backs its blades with a 2-year warranty against manufacturing faults.</t>
  </si>
  <si>
    <t xml:space="preserve">Models: Ignite, Twinspine, Kinetic HD, Kinetic Small
Options: Left or right blade</t>
  </si>
  <si>
    <t xml:space="preserve">falcon-one-paddle</t>
  </si>
  <si>
    <t xml:space="preserve">Falcon One Paddle</t>
  </si>
  <si>
    <t xml:space="preserve">Falcon</t>
  </si>
  <si>
    <t xml:space="preserve">Which shaft is fitted (Falcon / other) and which stiffness? Spec assumes the Falcon shaft.</t>
  </si>
  <si>
    <t xml:space="preserve">Falcon One Canoe Polo Paddle | WhiteTip Polo Supply</t>
  </si>
  <si>
    <t xml:space="preserve">Falcon One canoe polo paddle: robust carbon blades for goalkeepers and powerful players. 710 cm², curved face for ball control. Pre-order.</t>
  </si>
  <si>
    <t xml:space="preserve">Power and durability. The Falcon One is Falcon's most robust paddle, developed for players who face the biggest physical demands: goalkeepers, drivers and heavier athletes.
Its curved face gives you optimised ball control, and the 710 cm² blade delivers strong acceleration and clean bow-rudder strokes. Falcon is an ICF-registered canoe polo manufacturer.
• Built tough for physical positions
• Curved face for ball control
• Excellent acceleration and turning
• 1-year manufacturer warranty against manufacturing defects
• Custom colours and club logos available on request</t>
  </si>
  <si>
    <t xml:space="preserve">Blade area: 710 cm²
Blade weight: 275 g each
Paddle weight: approx. 780 g at 200 cm with Falcon shaft
Construction: Carbon (3K twill 200 g/m²)
Warranty: 1 year (manufacturing defects)</t>
  </si>
  <si>
    <t xml:space="preserve">https://falconpaddles.eu/falcon-one/
https://falconpaddles.eu/faq/
https://jcpolo.co.nz/products/falcon-polo-paddle
https://paddleworldwide.com/disciplines/canoe-polo/manufacturer-scheme</t>
  </si>
  <si>
    <t xml:space="preserve">falcon-one-blade</t>
  </si>
  <si>
    <t xml:space="preserve">Falcon One Blade</t>
  </si>
  <si>
    <t xml:space="preserve">Is this a pair of blades or a single blade? Priced $400 vs $500 for the full paddle. Also still tagged "paddles" (issue 12).</t>
  </si>
  <si>
    <t xml:space="preserve">Falcon One Canoe Polo Blades | WhiteTip Polo Supply</t>
  </si>
  <si>
    <t xml:space="preserve">Falcon One carbon polo blades: robust 710 cm² curved-face blades for goalkeepers and physical players. Fit any 27 mm shaft. Pre-order now.</t>
  </si>
  <si>
    <t xml:space="preserve">Upgrade your paddle with Falcon One blades, the most robust in Falcon's range and the choice for goalkeepers and physical players.
The curved 710 cm² face gives strong acceleration and optimised ball control. They fit standard 27 mm inside-diameter polo shafts, including Falcon, Vortex and DPP.
• Built tough for physical positions
• Curved face for ball control
• 1-year manufacturer warranty</t>
  </si>
  <si>
    <t xml:space="preserve">Blade area: 710 cm²
Blade weight: 275 g each
Construction: Carbon (3K twill 200 g/m²)
Shaft fit: 27 mm ID</t>
  </si>
  <si>
    <t xml:space="preserve">https://falconpaddles.eu/falcon-one/
https://falconpaddles.eu/faq/
https://canoepolo.shop/en/en-Canoepolo-Paddles/en-Paddleblades/en-Falcon-ONE-Blades</t>
  </si>
  <si>
    <t xml:space="preserve">falcon-evo-paddle</t>
  </si>
  <si>
    <t xml:space="preserve">Falcon EVO Paddle</t>
  </si>
  <si>
    <t xml:space="preserve">Which shaft is fitted? Spec assumes the Falcon shaft.</t>
  </si>
  <si>
    <t xml:space="preserve">Falcon EVO Canoe Polo Paddle | WhiteTip Polo Supply</t>
  </si>
  <si>
    <t xml:space="preserve">Falcon EVO: billed as the lightest canoe polo paddle in the world. Aerospace carbon blades, ~220 g each, 710 cm² curved face. Pre-order now.</t>
  </si>
  <si>
    <t xml:space="preserve">Falcon bills the EVO as the lightest polo paddle in the world. Aerospace-grade carbon and a special layering system bring each blade down to around 220–225 g, so you get faster acceleration, quicker hands and less fatigue late in the game.
It shares the Falcon One's proven shape, with a curved face for optimised ball control and clean bow-rudder strokes, in a lighter, stiffer build.
• Ultra-light 5K twill carbon blades
• Curved face for ball control
• Excellent acceleration and agility
• 1-year manufacturer warranty
• From Falcon, an ICF-registered canoe polo manufacturer</t>
  </si>
  <si>
    <t xml:space="preserve">Blade area: 710 cm²
Blade weight: 220–225 g each
Paddle weight: approx. 720 g at 200 cm with Falcon shaft
Construction: Carbon (5K twill 150 g/m²)
Warranty: 1 year (manufacturing defects)</t>
  </si>
  <si>
    <t xml:space="preserve">https://falconpaddles.eu/falcon-evo/
https://falconpaddles.eu/faq/
https://jcpolo.co.nz/products/falcon-evo-polo-paddle
https://paddleworldwide.com/disciplines/canoe-polo/manufacturer-scheme</t>
  </si>
  <si>
    <t xml:space="preserve">falcon-evo-blades</t>
  </si>
  <si>
    <t xml:space="preserve">Falcon EVO Blades</t>
  </si>
  <si>
    <t xml:space="preserve">Pair or single? Priced $500 vs $600 for the full paddle.</t>
  </si>
  <si>
    <t xml:space="preserve">Falcon EVO Canoe Polo Blades | WhiteTip Polo Supply</t>
  </si>
  <si>
    <t xml:space="preserve">Falcon EVO polo blades: around 220 g each in aerospace carbon, curved 710 cm² face. Fit standard 27 mm shafts. Pre-order from WhiteTip.</t>
  </si>
  <si>
    <t xml:space="preserve">Put the lightest blades in polo on your favourite shaft. Falcon EVO blades weigh around 220–225 g each, made from aerospace-grade carbon with a special layering system.
The curved 710 cm² face gives you strong acceleration and confident ball control. They fit standard 27 mm inside-diameter polo shafts.
• Ultra-light 5K twill carbon
• Curved face for ball control
• 1-year manufacturer warranty</t>
  </si>
  <si>
    <t xml:space="preserve">Blade area: 710 cm²
Blade weight: 220–225 g each
Construction: Carbon (5K twill 150 g/m²)
Shaft fit: 27 mm ID</t>
  </si>
  <si>
    <t xml:space="preserve">https://falconpaddles.eu/falcon-evo/
https://falconpaddles.eu/faq/
https://canoepolo.shop/en/en-Canoepolo-Paddles/en-Paddleblades/en-Falcon-EVO-Blades</t>
  </si>
  <si>
    <t xml:space="preserve">dpp-dynamic-paddle</t>
  </si>
  <si>
    <t xml:space="preserve">DPP Dynamic Paddle</t>
  </si>
  <si>
    <t xml:space="preserve">DPP</t>
  </si>
  <si>
    <t xml:space="preserve">DPP's own site lists no paddle at present (only shafts, helmets, bumpers and seats), and I couldn't verify a paddle model. Which DPP paddle is this, and at $165 is it blades only or complete?</t>
  </si>
  <si>
    <t xml:space="preserve">DPP Dynamic Canoe Polo Paddle | WhiteTip Polo Supply</t>
  </si>
  <si>
    <t xml:space="preserve">[On hold – paddle model to be confirmed. See flag.]</t>
  </si>
  <si>
    <t xml:space="preserve">https://dpp-dynamic.com/products/dpp-shafts</t>
  </si>
  <si>
    <t xml:space="preserve">lettmann-polo-paddle-lcs90-ultralight</t>
  </si>
  <si>
    <t xml:space="preserve">Lettmann Polo Paddle (LCS90 Ultralight)</t>
  </si>
  <si>
    <t xml:space="preserve">Lettmann offers 190–210 cm lengths and an 80° standard feather. Do you want Length / Feather options?</t>
  </si>
  <si>
    <t xml:space="preserve">Lettmann Polo LCS 90 Ultralight Paddle | WhiteTip Polo</t>
  </si>
  <si>
    <t xml:space="preserve">Lettmann Polo LCS 90 Ultralight: large foam-core blades with aramid-reinforced edges, 900 g. The goalkeeper paddle of choice. Pre-order.</t>
  </si>
  <si>
    <t xml:space="preserve">New and even lighter: Lettmann's proven Polo paddle in LCS 90 Ultralight construction.
A foam core in each blade keeps it stiff and light, and aramid-reinforced edges make it exceptionally edge-resistant. With its large blades, Lettmann recommends it as the goalkeeper's paddle of choice.
• Large 450 × 200 mm blades for maximum hold
• Foam-core blades with aramid edges
• 900 g complete
• Made to your length (190–210 cm) and feather (standard 80°)
• From Lettmann (Germany), an ICF-registered manufacturer</t>
  </si>
  <si>
    <t xml:space="preserve">Blade size: Large, 450 × 200 mm
Shaft diameter: 32 × 28 mm
Weight: 900 g
Construction: LCS 90 Ultralight, foam core, aramid edges
Lengths: 190–210 cm
Feather: 80° standard</t>
  </si>
  <si>
    <t xml:space="preserve">https://lettmann-shop.de/paddel/doppelpaddel/polo-paddel/3854/polo-lcs-70-paddel
https://paddleworldwide.com/disciplines/canoe-polo/manufacturer-scheme</t>
  </si>
  <si>
    <t xml:space="preserve">jem-polo-kinetic-paddle-blade</t>
  </si>
  <si>
    <t xml:space="preserve">JEM Polo Kinetic Paddle Blade</t>
  </si>
  <si>
    <t xml:space="preserve">No JEM blade specs reachable (jem-racing.co.uk blocked). Need area, weight, construction, and whether this is a pair.</t>
  </si>
  <si>
    <t xml:space="preserve">JEM Polo Kinetic Paddle Blades | WhiteTip Polo Supply</t>
  </si>
  <si>
    <t xml:space="preserve">[On hold – awaiting JEM specifications.]</t>
  </si>
  <si>
    <t xml:space="preserve">vortex-shaft-ultra-lite-190</t>
  </si>
  <si>
    <t xml:space="preserve">Vortex Shaft Ultra Lite 190</t>
  </si>
  <si>
    <t xml:space="preserve">Model mapping to Vortex X33: High – name and weight match X33. Please confirm against your Vortex price list; title could be renamed to "Vortex X33 …" (issue 13).</t>
  </si>
  <si>
    <t xml:space="preserve">Vortex Ultra Lite 190 Polo Shaft | WhiteTip Polo Supply</t>
  </si>
  <si>
    <t xml:space="preserve">Ultra-light 190 g Vortex polo shaft, medium stiffness, made for Kinetic Small blades and junior or lighter players. 110 cm, 27 mm fit.</t>
  </si>
  <si>
    <t xml:space="preserve">Vortex's ultra-light medium-stiff shaft, built to pair with Kinetic Small blades for juniors and lighter players. Woven carbon outside and Kevlar-carbon inside keep it remarkably light. Vortex notes it isn't intended for very strong, powerful paddlers.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</si>
  <si>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Medium (M+)
Material: Carbon / Kevlar-carbon
Weight: 190 g
Length: 110 cm
Diameter: ID 26.3 mm / OD 29.3 mm</t>
  </si>
  <si>
    <t xml:space="preserve">https://vortexkayaks.com/products/product/x33-shaft</t>
  </si>
  <si>
    <t xml:space="preserve">vortex-shaft-medium-250</t>
  </si>
  <si>
    <t xml:space="preserve">Vortex Shaft Medium 250</t>
  </si>
  <si>
    <t xml:space="preserve">Model mapping to Vortex X34: Probable – Medium, ~250 g = X34 (255 g). Please confirm against your Vortex price list; title could be renamed to "Vortex X34 …" (issue 13).</t>
  </si>
  <si>
    <t xml:space="preserve">Vortex Medium 250 Polo Shaft | WhiteTip Polo Supply</t>
  </si>
  <si>
    <t xml:space="preserve">Vortex's most popular polo shaft: medium-stiff carbon/Kevlar, just 255 g. Light, strong and suited to every position. 27 mm ID. Pre-order.</t>
  </si>
  <si>
    <t xml:space="preserve">Vortex's most popular shaft: the ideal balance of low weight and strength for every position. Woven carbon outside gives stiffness, and a Kevlar-carbon inner layer adds toughness.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</si>
  <si>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Medium (M+)
Material: Carbon / Kevlar-carbon
Weight: 255 g
Length: 110 cm
Diameter: ID 26.7 mm / OD 30.0 mm</t>
  </si>
  <si>
    <t xml:space="preserve">https://vortexkayaks.com/products/product/x34-shaft</t>
  </si>
  <si>
    <t xml:space="preserve">vortex-shaft-medium-310-goaly-hd</t>
  </si>
  <si>
    <t xml:space="preserve">Vortex Shaft Medium 310 Goaly HD</t>
  </si>
  <si>
    <t xml:space="preserve">Model mapping to Vortex X36: Probable – "Goaly HD" = X36 "HD extra strong GOALY"; name says 310, Vortex lists 290 g. Please confirm against your Vortex price list; title could be renamed to "Vortex X36 …" (issue 13).</t>
  </si>
  <si>
    <t xml:space="preserve">Vortex Goalie HD Polo Shaft | WhiteTip Polo Supply</t>
  </si>
  <si>
    <t xml:space="preserve">Vortex goalie shaft: Kevlar-carbon inside and out, rated Vortex's strongest polo shaft. 290 g, 115 cm, 27 mm ID. Pre-order now.</t>
  </si>
  <si>
    <t xml:space="preserve">The goalkeeper's shaft. Vortex rates the X36 as its strongest shaft, and among the strongest in polo, yet it's still not heavy. Woven Kevlar-carbon inside and out makes it almost unbreakable.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</si>
  <si>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Medium (M+), extra strong
Material: Kevlar-carbon / Kevlar-carbon
Weight: 290 g
Length: 115 cm
Diameter: ID 26.7 mm / OD 30.0 mm</t>
  </si>
  <si>
    <t xml:space="preserve">https://vortexkayaks.com/products/product/x36-shaft</t>
  </si>
  <si>
    <t xml:space="preserve">vortex-shaft-hard-300</t>
  </si>
  <si>
    <t xml:space="preserve">Vortex Shaft Hard 300</t>
  </si>
  <si>
    <t xml:space="preserve">Model mapping to Vortex X37: Probable – Hard ~300 g = X37 (295 g). Please confirm against your Vortex price list; title could be renamed to "Vortex X37 …" (issue 13).</t>
  </si>
  <si>
    <t xml:space="preserve">Vortex Hard 300 Polo Shaft | WhiteTip Polo Supply</t>
  </si>
  <si>
    <t xml:space="preserve">Vortex's stiffest, strongest polo shaft: woven carbon inside and out, 295 g, 115 cm, 27 mm ID. Ideal for goalies and power players.</t>
  </si>
  <si>
    <t xml:space="preserve">The stiffest and strongest shaft in the Vortex range. Ideal for goalkeepers or anyone who prefers a stiff, strong shaft and doesn't mind a few extra grams. Woven carbon inside and out.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</si>
  <si>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Stiff (M++), extra strong
Material: Carbon / carbon
Weight: 295 g
Length: 115 cm
Diameter: ID 26.7 mm / OD 30.0 mm</t>
  </si>
  <si>
    <t xml:space="preserve">https://vortexkayaks.com/products/product/x37</t>
  </si>
  <si>
    <t xml:space="preserve">vortex-shaft-hard-220-grip</t>
  </si>
  <si>
    <t xml:space="preserve">Vortex Shaft Hard 220 Grip</t>
  </si>
  <si>
    <t xml:space="preserve">Model mapping to Vortex X38: Probable – Hard + Grip = X38 (only grip shaft); name says 220, Vortex lists 265 g. Please confirm against your Vortex price list; title could be renamed to "Vortex X38 …" (issue 13).</t>
  </si>
  <si>
    <t xml:space="preserve">Vortex Hard Grip Polo Shaft | WhiteTip Polo Supply</t>
  </si>
  <si>
    <t xml:space="preserve">Stiff, light Vortex polo shaft with integrated internal index grip for perfect hand orientation. Kevlar-carbon, 265 g, 115 cm. Pre-order.</t>
  </si>
  <si>
    <t xml:space="preserve">Stiff, light and strong, and the only Vortex shaft with an integrated internal index grip, so your hands always find the right orientation. Kevlar-carbon outside, carbon inside.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</si>
  <si>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Stiff (M++)
Material: Kevlar-carbon / carbon, internal index grip
Weight: 265 g
Length: 115 cm
Diameter: ID 26.7 mm / OD 30.0 mm</t>
  </si>
  <si>
    <t xml:space="preserve">https://vortexkayaks.com/products/product/x38</t>
  </si>
  <si>
    <t xml:space="preserve">vortex-shaft-flexx-280</t>
  </si>
  <si>
    <t xml:space="preserve">Vortex Shaft Flexx 280</t>
  </si>
  <si>
    <t xml:space="preserve">Model mapping to Vortex X32: Probable – Flexx ~280 g = X32 (275 g). Please confirm against your Vortex price list; title could be renamed to "Vortex X32 …" (issue 13).</t>
  </si>
  <si>
    <t xml:space="preserve">Vortex Flexx 280 Polo Shaft | WhiteTip Polo Supply</t>
  </si>
  <si>
    <t xml:space="preserve">Vortex's most flexible polo shaft: glass/carbon with carbon-reinforced ends, 275 g, 110 cm. Easy on joints, lively feel. Pre-order now.</t>
  </si>
  <si>
    <t xml:space="preserve">The most flexible shaft in the Vortex range: easy on the joints with a lively feel. Glass fibre and carbon combine for flex and strength, and the blade ends (12 cm each side) are reinforced with woven carbon to resist splitting.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</si>
  <si>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Flexible
Material: Glass + carbon, carbon-reinforced ends
Weight: 275 g
Length: 110 cm
Diameter: ID 26.7 mm / OD 30.3 mm</t>
  </si>
  <si>
    <t xml:space="preserve">https://vortexkayaks.com/products/product/shafts</t>
  </si>
  <si>
    <t xml:space="preserve">vortex-shaft-flexx-310</t>
  </si>
  <si>
    <t xml:space="preserve">Vortex Shaft Flexx 310</t>
  </si>
  <si>
    <t xml:space="preserve">Model mapping to Vortex X35: Probable – Flexx ~310 g = X35 (300 g); X35 has no own page, figures from Vortex blade pages. Please confirm against your Vortex price list; title could be renamed to "Vortex X35 …" (issue 13).</t>
  </si>
  <si>
    <t xml:space="preserve">Vortex Flexx 310 Polo Shaft | WhiteTip Polo Supply</t>
  </si>
  <si>
    <t xml:space="preserve">Flexible carbon-glass Vortex polo shaft: comfortable on shoulders and elbows with a smooth, forgiving catch. 300 g, 115 cm. Pre-order.</t>
  </si>
  <si>
    <t xml:space="preserve">A flexible carbon-glass shaft from Vortex: comfortable on the shoulders and elbows, with a smooth, forgiving catch.
Vortex shafts are made in the Netherlands for polo and sized at approx. 27 mm inside / 30 mm outside, so they fit Vortex blades and most other polo blades. When fitting blades, sand the blade stubs and the inside of the shaft before gluing, and don't overheat hot-glue.
Add our blade + shaft assembly service and we'll build your paddle for you.</t>
  </si>
  <si>
    <t xml:space="preserve">Stiffness: Flexible
Material: Carbon-glass
Weight: 300 g
Length: 115 cm
Diameter: approx. ID 27 mm / OD 30 mm</t>
  </si>
  <si>
    <t xml:space="preserve">falcon-shaft</t>
  </si>
  <si>
    <t xml:space="preserve">Falcon Shaft</t>
  </si>
  <si>
    <t xml:space="preserve">Which stiffness are we selling: Comfort Mid (orange logo) or Stiff Hard (white logo)? Suggest adding a Stiffness option. Weight: Falcon says 240 g; jcpolo weighed 225–235 g.</t>
  </si>
  <si>
    <t xml:space="preserve">Falcon Carbon Polo Shaft | WhiteTip Polo Supply</t>
  </si>
  <si>
    <t xml:space="preserve">Falcon carbon canoe polo shaft: 240 g, 115 cm, 27/30 mm, anti-slip ultra-grip finish. Comfort Mid or Stiff Hard. Fits most polo blades.</t>
  </si>
  <si>
    <t xml:space="preserve">Superior performance and maximum grip. Falcon's carbon polo shaft has an anti-slip, ultra-grip matt surface, so you get secure control in all conditions, often without wax.
At 240 g and 115 cm, with the standard 27 mm inside / 30 mm outside diameters, it pairs with Falcon blades and most other polo blades.
• Two stiffnesses: Comfort Mid (orange logo) or Stiff Hard (white logo)
• Anti-slip, ultra-grip surface
• 1-year warranty when used with Falcon blades</t>
  </si>
  <si>
    <t xml:space="preserve">Weight: 240 g
Length: 115 cm
Diameter: ID 27 mm / OD 30 mm
Stiffness: Comfort Mid (orange) or Stiff Hard (white)
Warranty: 1 year with Falcon blades</t>
  </si>
  <si>
    <t xml:space="preserve">https://falconpaddles.eu/falcon-shafts/
https://falconpaddles.eu/faq/</t>
  </si>
  <si>
    <t xml:space="preserve">dpp-shaft-27mm</t>
  </si>
  <si>
    <t xml:space="preserve">DPP Shaft 27mm</t>
  </si>
  <si>
    <t xml:space="preserve">DPP offers Stiff or Flex. Which one are we selling?</t>
  </si>
  <si>
    <t xml:space="preserve">DPP Carbon Polo Shaft 27 mm | WhiteTip Polo Supply</t>
  </si>
  <si>
    <t xml:space="preserve">DPP Dynamic carbon/glass prepreg polo shaft, 27 mm ID / 30 mm OD, 300 g, reinforced ends. From an ICF-registered polo maker. Pre-order.</t>
  </si>
  <si>
    <t xml:space="preserve">A stiff, dependable polo shaft from DPP Dynamic in the Netherlands, an ICF-registered canoe polo manufacturer building kayaks and gear since 2003.
Made from carbon/glass prepreg with consolidated (reinforced) ends, it's sized at 27 mm inside / 30 mm outside to fit standard polo blades.
• Carbon/glass prepreg construction
• Reinforced ends
• 27 mm ID / 30 mm OD
• 300 g</t>
  </si>
  <si>
    <t xml:space="preserve">Material: Carbon/glass prepreg
Weight: 300 g
Diameter: ID 27 mm / OD 30 mm
Ends: Consolidated / reinforced</t>
  </si>
  <si>
    <t xml:space="preserve">https://dpp-dynamic.com/products/dpp-shafts
https://paddleworldwide.com/disciplines/canoe-polo/manufacturer-scheme</t>
  </si>
  <si>
    <t xml:space="preserve">jem-carbon-polo-shaft</t>
  </si>
  <si>
    <t xml:space="preserve">JEM Carbon Polo Shaft</t>
  </si>
  <si>
    <t xml:space="preserve">No JEM shaft specs reachable. Need weight, length, ID/OD and stiffness.</t>
  </si>
  <si>
    <t xml:space="preserve">JEM Carbon Polo Shaft | WhiteTip Polo Supply</t>
  </si>
  <si>
    <t xml:space="preserve">jem-kevlar-carbon-polo-shaft</t>
  </si>
  <si>
    <t xml:space="preserve">JEM Kevlar/Carbon Polo Shaft</t>
  </si>
  <si>
    <t xml:space="preserve">JEM Kevlar/Carbon Polo Shaft | WhiteTip Polo Supply</t>
  </si>
  <si>
    <t xml:space="preserve">g1-spray-deck</t>
  </si>
  <si>
    <t xml:space="preserve">G1 Spray Deck</t>
  </si>
  <si>
    <t xml:space="preserve">G1</t>
  </si>
  <si>
    <t xml:space="preserve">G1 Kevlar Canoe Polo Spraydeck | WhiteTip Polo Supply</t>
  </si>
  <si>
    <t xml:space="preserve">G1 canoe polo spraydeck: handcrafted, Kevlar-reinforced and built to outlast. Fits most polo kayaks. Sizes XS–XL (65–85 cm). Pre-order.</t>
  </si>
  <si>
    <t xml:space="preserve">G1 Watersports' newly designed spraydeck is handcrafted for durability and strength. It's G1's toughest, most resilient deck yet, built to keep you sealed in through hard contact play.
The standard size fits most polo kayaks, including DPP Dynamic, Connect, Mamba, Lettmann, CPS, DBxclusive and Adrio.
• Handcrafted with Kevlar reinforcement
• Fits most polo cockpits
• Five waist tube sizes, XS–XL
• Approx. 700 g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</si>
  <si>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Waist tube sizes: XS 65 · S 70 · M 75 · L 80 · XL 85 cm
Deck fit: Standard polo cockpit (DPP Dynamic, Connect, Mamba, Lettmann, CPS, DBxclusive, Adrio)
Weight: approx. 700 g</t>
  </si>
  <si>
    <t xml:space="preserve">XS 65 cm · S 70 cm · M 75 cm · L 80 cm · XL 85 cm (G1 tube size labels)</t>
  </si>
  <si>
    <t xml:space="preserve">https://g1watersports.com/products/g1-spraydeck
https://canoepolo.shop/en/en-Spraydeck/en-G1-Watersports-Canoepolo-Spraydeck
https://jcpolo.co.nz/products/g1-kevlar-spraydeck-polo</t>
  </si>
  <si>
    <t xml:space="preserve">lettmann-polo-spraycover-x-trem</t>
  </si>
  <si>
    <t xml:space="preserve">Lettmann Polo Spraycover X-trem</t>
  </si>
  <si>
    <t xml:space="preserve">Lettmann X-trem Polo Spraycover | WhiteTip Polo Supply</t>
  </si>
  <si>
    <t xml:space="preserve">Lettmann X-trem neoprene polo spraydeck with Abratex-reinforced neoprene and braces. Tournament-proven toughness. XS–XL (65–93 cm). Pre-order.</t>
  </si>
  <si>
    <t xml:space="preserve">Lettmann's toughest polo deck. The X-trem uses Abratex-reinforced neoprene and comes with shoulder braces. Lettmann says it survives far more than any deck before it, and its quality has been proven at every major tournament.
Made for polo and slalom, it fits Lettmann's polo cockpit (deck size S): Sting, Sting PE, Blade, Blade PE, Equipe, Fighter L/XL and Strike.
• Abratex-reinforced neoprene
• Shoulder braces included
• Polo/slalom cockpit
• Five waist tube sizes, XS–XL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</si>
  <si>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Waist tube sizes: XS 65 · S 72 · M 79 · L 86 · XL 93 cm
Deck size: Lettmann polo cockpit "S"
Material: Abratex-reinforced neoprene, with braces
Fits: Lettmann Sting, Sting PE, Blade, Blade PE, Equipe, Fighter L/XL, Strike (Fighter XXL needs its own version)</t>
  </si>
  <si>
    <t xml:space="preserve">XS 65 cm · S 72 cm · M 79 cm · L 86 cm · XL 93 cm (Lettmann tube size labels)</t>
  </si>
  <si>
    <t xml:space="preserve">https://lettmann-shop.de/zubehoer/spritzdecken/124/polo-neorpen-spritzdecke-xtrem
https://lettmann-shop.de/media/pdf/90/bf/01/Spritzdeckengroessenkajaks2.pdf</t>
  </si>
  <si>
    <t xml:space="preserve">lettmann-polo-spraycover-rock</t>
  </si>
  <si>
    <t xml:space="preserve">Lettmann Polo Spraycover Rock</t>
  </si>
  <si>
    <t xml:space="preserve">Lettmann Rock Polo Spraycover | WhiteTip Polo Supply</t>
  </si>
  <si>
    <t xml:space="preserve">Lettmann Rock neoprene polo spraydeck with PU reinforcement and braces. Great-value club deck. Sizes S–XL (72–93 cm). Pre-order now.</t>
  </si>
  <si>
    <t xml:space="preserve">A durable, great-value neoprene deck from Lettmann. The Rock is built for polo and slalom with PU reinforcement and shoulder braces, a dependable choice for club fleets and training.
It fits Lettmann's polo cockpit (deck size S): Sting, Sting PE, Blade, Blade PE, Equipe, Fighter L/XL and Strike.
• PU-reinforced neoprene
• Shoulder braces included
• Four waist tube sizes, S–XL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</si>
  <si>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Waist tube sizes: S 72 · M 79 · L 86 · XL 93 cm
Deck size: Lettmann polo cockpit "S"
Material: Neoprene with PU reinforcement, with braces
Fits: Lettmann Sting, Sting PE, Blade, Blade PE, Equipe, Fighter L/XL, Strike</t>
  </si>
  <si>
    <t xml:space="preserve">S 72 cm · M 79 cm · L 86 cm · XL 93 cm (Lettmann tube size labels)</t>
  </si>
  <si>
    <t xml:space="preserve">https://lettmann-shop.de/zubehoer/spritzdecken/179/polo/slalom-neorpen-spritzdecke-rock
https://lettmann-shop.de/media/pdf/90/bf/01/Spritzdeckengroessenkajaks2.pdf</t>
  </si>
  <si>
    <t xml:space="preserve">hydtec-spray-deck</t>
  </si>
  <si>
    <t xml:space="preserve">Hydtec Spray Deck</t>
  </si>
  <si>
    <t xml:space="preserve">Hydtec</t>
  </si>
  <si>
    <t xml:space="preserve">Only "Small" is set up, but Hydtec makes XS, S, M, L and XL. Add the other sizes? Hydtec publishes no cm figures for its sizes.</t>
  </si>
  <si>
    <t xml:space="preserve">Hydtec Canoe Polo Spraydeck | WhiteTip Polo Supply</t>
  </si>
  <si>
    <t xml:space="preserve">Hydtec canoe polo spraydeck: 4 mm superelastic neoprene, latex anti-slip grip, built for boat-on-boat contact. Easy on, secure seal. Pre-order.</t>
  </si>
  <si>
    <t xml:space="preserve">Stay sealed. Stay in control. Hydtec's polo deck is built to take brutal boat-on-boat contact while staying easy to fit and remove, making it a great choice for juniors and smaller athletes who struggle with tight decks.
Superelastic 4 mm neoprene and a latex anti-slip inner layer lock onto the cockpit rim, and blind-stitched, latex-sealed seams keep the water out. Hydtec ships this deck with every one of its competition boats.
• 4 mm superelastic, tough-faced neoprene
• Latex / silicone anti-slip underside grip
• Blind-stitched, latex-sealed seams, 9 mm shock cord
• Standard K1 polo cockpit
• From Hydtec, an ICF-registered canoe polo manufacturer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</si>
  <si>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Material: 4 mm superelastic neoprene, latex anti-slip interior
Rim: 9 mm shock cord
Deck fit: K1 polo cockpit
Waist sizes: XS / S / M / L / XL (no cm published)</t>
  </si>
  <si>
    <t xml:space="preserve">XS–XL; Hydtec publishes no cm measurements.</t>
  </si>
  <si>
    <t xml:space="preserve">https://hydtec.co/hydtec-spray-deck
https://jcpolo.co.nz/products/hydtec-polo-deck-new
https://paddleworldwide.com/disciplines/canoe-polo/manufacturer-scheme</t>
  </si>
  <si>
    <t xml:space="preserve">cps-spray-deck</t>
  </si>
  <si>
    <t xml:space="preserve">CPS Spray Deck</t>
  </si>
  <si>
    <t xml:space="preserve">CPS</t>
  </si>
  <si>
    <t xml:space="preserve">Only XL is set up; CPS decks also come in S, M and L (per jcpolo). No cm sizing is published. Confirm the CPS manufacturer/supplier for the source sheet.</t>
  </si>
  <si>
    <t xml:space="preserve">CPS Kevlar Canoe Polo Spraydeck | WhiteTip Polo Supply</t>
  </si>
  <si>
    <t xml:space="preserve">CPS Kevlar canoe polo spraydeck: Kevlar around the whole rim for maximum protection. Suits CPS, Lettmann and DPP Dynamic cockpits. Pre-order.</t>
  </si>
  <si>
    <t xml:space="preserve">Maximum protection where decks wear out first. The CPS Kevlar deck has Kevlar around the entire rim, so it stands up to the boat-on-boat contact of canoe polo.
CPS decks are cut slightly larger, with the waist tube set further forward to suit seating positions in CPS, Lettmann and DPP Dynamic kayaks.
• Full Kevlar rim protection
• Larger cut, forward waist tube
• Suits CPS, Lettmann and DPP Dynamic cockpits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</si>
  <si>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Rim: Kevlar around full rim
Fits: CPS, Lettmann, DPP Dynamic
Sizes: S / M / L / XL (we stock XL; no cm published)</t>
  </si>
  <si>
    <t xml:space="preserve">S–XL; no cm measurements published.</t>
  </si>
  <si>
    <t xml:space="preserve">https://jcpolo.co.nz/products/cps-kevlar-spraydeck</t>
  </si>
  <si>
    <t xml:space="preserve">vortex-polodeck</t>
  </si>
  <si>
    <t xml:space="preserve">Vortex Polodeck</t>
  </si>
  <si>
    <t xml:space="preserve">Vortex no longer lists a spraydeck on its site. A search-engine snippet of a removed Vortex page described "Spraydeck POLO HD (by Frog)": edge-reinforced heavy-duty neoprene, single waist, shoulder straps, reinforced outer edge, latex-reinforced inner edge. Lower-confidence source. Please confirm the model and sizes.</t>
  </si>
  <si>
    <t xml:space="preserve">Vortex Polo Spraydeck | WhiteTip Polo Supply</t>
  </si>
  <si>
    <t xml:space="preserve">Vortex polo spraydeck: heavy-duty neoprene with reinforced outer edge, latex-reinforced inner edge and shoulder straps. Pre-order now.</t>
  </si>
  <si>
    <t xml:space="preserve">A heavy-duty polo deck supplied by Vortex. The edge-reinforced neoprene, latex-reinforced inner edge and shoulder straps keep it secure and dry through physical play.
• Heavy-duty neoprene with reinforced outer edge
• Latex-reinforced inner edge
• Shoulder straps
How to choose your size: measure around your waist where the deck tube will sit, wearing what you normally paddle in, and pick the tube size closest to that measurement. Between sizes? Go tighter for competition, looser for comfort. Not sure? Send us your waist measurement and your boat model and we'll match it for you.</t>
  </si>
  <si>
    <t xml:space="preserve">Material: Heavy-duty neoprene, reinforced edges (to confirm)
Sizes: TBC</t>
  </si>
  <si>
    <t xml:space="preserve">https://vortexkayaks.com/products/product/spraydeck (removed; search snippet only)</t>
  </si>
  <si>
    <t xml:space="preserve">hydtec-polo-helmet</t>
  </si>
  <si>
    <t xml:space="preserve">Hydtec Polo Helmet</t>
  </si>
  <si>
    <t xml:space="preserve">Hydtec sells the helmet with face guard as a set (S$220). Ours is the helmet only at $165, with the face guard separate. Confirm helmet sizes, if any.</t>
  </si>
  <si>
    <t xml:space="preserve">Hydtec Carbon Canoe Polo Helmet | WhiteTip Polo Supply</t>
  </si>
  <si>
    <t xml:space="preserve">Hydtec full-carbon canoe polo helmet: strong, lightweight protection for competitive play. Custom team colours available. Pre-order now.</t>
  </si>
  <si>
    <t xml:space="preserve">Maximum protection, minimal weight. Hydtec's polo helmet uses a full carbon-fibre shell for strong, lightweight impact protection, with excellent visibility and freedom of movement.
Built for competitive canoe polo by Hydtec, an ICF-registered manufacturer. Pair it with the Hydtec stainless-steel face guard for a complete match-ready setup.
• Full carbon-fibre shell
• Lightweight for all-day comfort
• Custom team and club colours available on request</t>
  </si>
  <si>
    <t xml:space="preserve">Shell: Full carbon fibre
Face guard: Sold separately (Hydtec Grill / Face Guard)</t>
  </si>
  <si>
    <t xml:space="preserve">https://hydtec.co/hydtec-canoe-polo-helmet-with-face-guard
https://jcpolo.co.nz/products/hydtec-polo-helmet-new-copy
https://paddleworldwide.com/disciplines/canoe-polo/manufacturer-scheme</t>
  </si>
  <si>
    <t xml:space="preserve">hydtec-grill-face-guard</t>
  </si>
  <si>
    <t xml:space="preserve">Hydtec Grill / Face Guard</t>
  </si>
  <si>
    <t xml:space="preserve">Hydtec doesn't list the face guard separately. Confirm it fits only the Hydtec helmet, or others too.</t>
  </si>
  <si>
    <t xml:space="preserve">Hydtec Stainless Steel Face Guard | WhiteTip Polo Supply</t>
  </si>
  <si>
    <t xml:space="preserve">Hydtec stainless-steel canoe polo face guard for the Hydtec carbon helmet. Reinforced facial protection for contact play. Pre-order now.</t>
  </si>
  <si>
    <t xml:space="preserve">Complete your Hydtec helmet with a reinforced stainless-steel face guard, giving you dependable facial protection in contact play without blocking your view.
• Stainless steel
• Designed for the Hydtec carbon polo helmet</t>
  </si>
  <si>
    <t xml:space="preserve">Material: Stainless steel
Fits: Hydtec polo helmet</t>
  </si>
  <si>
    <t xml:space="preserve">https://hydtec.co/hydtec-canoe-polo-helmet-with-face-guard</t>
  </si>
  <si>
    <t xml:space="preserve">hydtec-pfd</t>
  </si>
  <si>
    <t xml:space="preserve">Hydtec PFD</t>
  </si>
  <si>
    <t xml:space="preserve">Sizes S/M/L exist, but only colour variants are set up. Add sizes? Weight bands per jcpolo: Small 50–65 kg, Medium 65–90 kg (Large not stated).</t>
  </si>
  <si>
    <t xml:space="preserve">Hydtec Canoe Polo PFD | WhiteTip Polo Supply</t>
  </si>
  <si>
    <t xml:space="preserve">Hydtec canoe polo PFD: ICF-approved, CE ISO 12402-5 certified, soft one-piece foam for comfort and impact protection. Team prints available.</t>
  </si>
  <si>
    <t xml:space="preserve">Comfort meets protection in every match. The Hydtec polo PFD is ICF approved for competition and CE certified to ISO 12402-5, with soft one-piece foam that gives buoyancy and impact protection without restricting your stroke.
Full-colour nylon fabric keeps it looking sharp. Trialled in New Zealand for a year, it was still looking like new according to jcpolo. Custom team printing is available. Ask us about club sets.
• ICF approved for canoe polo
• CE ISO 12402-5 certified
• One-piece foam for comfort and impact protection
• Custom team printing available</t>
  </si>
  <si>
    <t xml:space="preserve">Certification: CE ISO 12402-5; ICF approved
Construction: One-piece foam, full-colour nylon
Sizes: S (50–65 kg), M (65–90 kg), L</t>
  </si>
  <si>
    <t xml:space="preserve">S 50–65 kg · M 65–90 kg · L (range not published)</t>
  </si>
  <si>
    <t xml:space="preserve">https://hydtec.co/hydtec-canoe-polo-pfd-personal-flotation-device
https://jcpolo.co.nz/products/polo-pfd-hydtec</t>
  </si>
  <si>
    <t xml:space="preserve">jem-polo-helmet-glass-fibre</t>
  </si>
  <si>
    <t xml:space="preserve">JEM Polo Helmet (Glass Fibre)</t>
  </si>
  <si>
    <t xml:space="preserve">No JEM specs reachable (jem-racing.co.uk blocked). Need sizes, weight, fit and compatibility.</t>
  </si>
  <si>
    <t xml:space="preserve">JEM Glass Fibre Polo Helmet | WhiteTip Polo Supply</t>
  </si>
  <si>
    <t xml:space="preserve">jem-polo-helmet-carbon</t>
  </si>
  <si>
    <t xml:space="preserve">JEM Polo Helmet (Carbon)</t>
  </si>
  <si>
    <t xml:space="preserve">JEM Carbon Polo Helmet | WhiteTip Polo Supply</t>
  </si>
  <si>
    <t xml:space="preserve">jem-face-mask-stainless-steel</t>
  </si>
  <si>
    <t xml:space="preserve">JEM Face Mask (Stainless Steel)</t>
  </si>
  <si>
    <t xml:space="preserve">JEM Stainless Steel Face Mask | WhiteTip Polo Supply</t>
  </si>
  <si>
    <t xml:space="preserve">jem-replacement-bumper</t>
  </si>
  <si>
    <t xml:space="preserve">JEM Replacement Bumper</t>
  </si>
  <si>
    <t xml:space="preserve">JEM Replacement Bumper | WhiteTip Polo Supply</t>
  </si>
  <si>
    <t xml:space="preserve">lettmann-bumper-integrated-sting-blade-4</t>
  </si>
  <si>
    <t xml:space="preserve">Lettmann Bumper - integrated (Sting/Blade 4)</t>
  </si>
  <si>
    <t xml:space="preserve">Front, rear or pair? Lettmann sells front and rear separately.</t>
  </si>
  <si>
    <t xml:space="preserve">Lettmann Integrated Bumper – Sting / Blade 4 | WhiteTip Polo</t>
  </si>
  <si>
    <t xml:space="preserve">Genuine Lettmann integrated polo bumper for the Sting, Sting PE and Blade 4. ICF-approved, sits flush with the hull. Pre-order now.</t>
  </si>
  <si>
    <t xml:space="preserve">Genuine Lettmann replacement bumper for the Sting and Blade 4 polo kayaks. Lettmann's integrated bumpers sit flush with the hull and are ICF approved.
• Fits Lettmann Sting, Sting PE and Blade 4
• Integrated, flush-fit design
• ICF approved</t>
  </si>
  <si>
    <t xml:space="preserve">Fits: Lettmann Sting, Blade 4
Type: Integrated (flush)
Approval: ICF</t>
  </si>
  <si>
    <t xml:space="preserve">https://lettmann-shop.de/bootsausruestung/ersatzteile/3035/polo-puffer-integriert-fuer-blade-4-und-sting
https://lettmann.de/boote/polo-kajak</t>
  </si>
  <si>
    <t xml:space="preserve">lettmann-bumper-integrated-blade-2-3-fighter-ii-strike-7</t>
  </si>
  <si>
    <t xml:space="preserve">Lettmann Bumper - integrated (Blade 2+3/Fighter II/Strike 7)</t>
  </si>
  <si>
    <t xml:space="preserve">Lettmann lists fit as Strike, Blade II + III, Fighter II and Fighter XXL. Our title says "Strike 7". Rename? Front, rear or pair?</t>
  </si>
  <si>
    <t xml:space="preserve">Lettmann Polo Bumper – Strike/Blade/Fighter | WhiteTip Polo</t>
  </si>
  <si>
    <t xml:space="preserve">Genuine Lettmann integrated polo bumper for Strike, Blade II/III, Fighter II and Fighter XXL. ICF-approved flush fit. Pre-order now.</t>
  </si>
  <si>
    <t xml:space="preserve">Genuine Lettmann replacement integrated bumper for the Strike, Blade II and III, Fighter II and Fighter XXL polo kayaks. Flush-fitting and ICF approved.
• Fits Lettmann Strike, Blade II/III, Fighter II, Fighter XXL
• Integrated, flush-fit design
• ICF approved</t>
  </si>
  <si>
    <t xml:space="preserve">Fits: Lettmann Strike, Blade II/III, Fighter II, Fighter XXL
Type: Integrated (flush)
Approval: ICF</t>
  </si>
  <si>
    <t xml:space="preserve">https://lettmann-shop.de/bootsausruestung/ersatzteile/1330/polo-puffer-integriert-fuer-strike-blade-ii-iii-fighter-ii-und-fighter-xxl
https://lettmann.de/boote/polo-kajak</t>
  </si>
  <si>
    <t xml:space="preserve">lettmann-bumper-bolt-on</t>
  </si>
  <si>
    <t xml:space="preserve">Lettmann Bumper - bolt-on</t>
  </si>
  <si>
    <t xml:space="preserve">Lettmann's shop doesn't list a bolt-on bumper. Please confirm the part and which boats it fits.</t>
  </si>
  <si>
    <t xml:space="preserve">Lettmann Bolt-on Polo Bumper | WhiteTip Polo Supply</t>
  </si>
  <si>
    <t xml:space="preserve">[On hold – part to be confirmed.]</t>
  </si>
  <si>
    <t xml:space="preserve">trimona-white-shark-grip</t>
  </si>
  <si>
    <t xml:space="preserve">Trimona White Shark Grip</t>
  </si>
  <si>
    <t xml:space="preserve">Trimona White Shark</t>
  </si>
  <si>
    <t xml:space="preserve">Confirm size (Trimona lists White Shark 250 g). Trimona's own page names wtpolo.supply as bringing White Shark to Australian canoe polo, which is good for credibility.</t>
  </si>
  <si>
    <t xml:space="preserve">Trimona White Shark Grip Resin | WhiteTip Polo Supply</t>
  </si>
  <si>
    <t xml:space="preserve">Trimona White Shark grip resin: pro-grade white concentrate for longer-lasting grip, cleaner hands and fewer dropped balls. Made in Germany.</t>
  </si>
  <si>
    <t xml:space="preserve">More grip, fewer turnovers. White Shark is Trimona's specialist resin, developed with handball professionals. Its white concentrate formula gives a longer-lasting tack, so you use less and keep control of the ball when it counts.
Trimona has made grip products in Braunschweig, Germany, since 1887, and through WhiteTip Polo Supply White Shark is now available to the Australian canoe polo community.
• White concentrate formula for extended grip
• Dermatologically tested; free of colophony, perfume, dyes and aromas
• Leaves minimal residue
• Doesn't wash off with water alone. Use a Trimona cleaner or hand lotion.</t>
  </si>
  <si>
    <t xml:space="preserve">Size: 250 g (to confirm)
Made in: Germany</t>
  </si>
  <si>
    <t xml:space="preserve">https://www.trimona.com/produkt/trimona-white-shark-handballharz-250-g/
https://www.trimona.com/white-shark-handballharz-wtpolo-supply/</t>
  </si>
  <si>
    <t xml:space="preserve">vortex-paddle-bag-vx-k1-2</t>
  </si>
  <si>
    <t xml:space="preserve">Vortex Paddle Bag VX K1-2</t>
  </si>
  <si>
    <t xml:space="preserve">Assumed to be Vortex "Paddle bag Mesh 2k".</t>
  </si>
  <si>
    <t xml:space="preserve">Vortex Mesh Paddle Bag – 2 Paddles | WhiteTip Polo Supply</t>
  </si>
  <si>
    <t xml:space="preserve">Vortex mesh paddle bag for 2 polo paddles up to 206 cm, with a separator to stop blades knocking. Soft, breathable protection.</t>
  </si>
  <si>
    <t xml:space="preserve">Protect your blades between games. Vortex's soft mesh paddle bag carries two paddles with a separator between them, so carbon edges don't rub, and it breathes so wet gear dries.
• Holds 2 paddles up to 206 cm
• Internal separator
• Breathable mesh
• Blue</t>
  </si>
  <si>
    <t xml:space="preserve">Capacity: 2 paddles
Max paddle length: 206 cm
Colour: Blue</t>
  </si>
  <si>
    <t xml:space="preserve">https://vortexkayaks.com/products/product/paddle-bag-mesh</t>
  </si>
  <si>
    <t xml:space="preserve">vortex-paddle-bag-vx-k1-4</t>
  </si>
  <si>
    <t xml:space="preserve">Vortex Paddle Bag VX K1-4</t>
  </si>
  <si>
    <t xml:space="preserve">Assumed to be Vortex "Paddle bag Mesh 4k".</t>
  </si>
  <si>
    <t xml:space="preserve">Vortex Mesh Paddle Bag – 4 Paddles | WhiteTip Polo Supply</t>
  </si>
  <si>
    <t xml:space="preserve">Vortex mesh paddle bag for up to 4 polo paddles (206 cm max). Soft, breathable protection for team or club paddles.</t>
  </si>
  <si>
    <t xml:space="preserve">The team bag. Vortex's soft mesh paddle bag carries up to four paddles, ideal for families, coaches and club kit, and breathes so everything dries between sessions.
• Holds 4 paddles up to 206 cm
• Breathable mesh
• Blue</t>
  </si>
  <si>
    <t xml:space="preserve">Capacity: 4 paddles
Max paddle length: 206 cm
Colour: Blue</t>
  </si>
  <si>
    <t xml:space="preserve">https://vortexkayaks.com/products/product/paddle-bag-mesh-4k</t>
  </si>
  <si>
    <t xml:space="preserve">vortex-blade-shaft-assembly-service</t>
  </si>
  <si>
    <t xml:space="preserve">Vortex Blade+Shaft Assembly (service)</t>
  </si>
  <si>
    <t xml:space="preserve">Who does the assembly, us or Vortex? Copy says "we".</t>
  </si>
  <si>
    <t xml:space="preserve">Paddle Assembly Service | WhiteTip Polo Supply</t>
  </si>
  <si>
    <t xml:space="preserve">Have your polo blades fitted to your shaft for you: correct length, feather angle and a secure bond. Add to any blade and shaft order.</t>
  </si>
  <si>
    <t xml:space="preserve">Buying blades and a shaft? Let us put them together. We'll cut the shaft to your length, set your preferred feather angle and bond the blades securely, following the manufacturer's preparation guidance, so your paddle arrives ready to play.
Add this service to your order and tell us your paddle length, feather angle and whether you're left- or right-handed.</t>
  </si>
  <si>
    <t xml:space="preserve">Summary</t>
  </si>
  <si>
    <t xml:space="preserve">Total</t>
  </si>
  <si>
    <t xml:space="preserve">Approved so far</t>
  </si>
  <si>
    <t xml:space="preserve">Product</t>
  </si>
  <si>
    <t xml:space="preserve">XS</t>
  </si>
  <si>
    <t xml:space="preserve">S</t>
  </si>
  <si>
    <t xml:space="preserve">M</t>
  </si>
  <si>
    <t xml:space="preserve">L</t>
  </si>
  <si>
    <t xml:space="preserve">XL</t>
  </si>
  <si>
    <t xml:space="preserve">Deck / cockpit fit</t>
  </si>
  <si>
    <t xml:space="preserve">We stock</t>
  </si>
  <si>
    <t xml:space="preserve">Source</t>
  </si>
  <si>
    <t xml:space="preserve">65 cm</t>
  </si>
  <si>
    <t xml:space="preserve">70 cm</t>
  </si>
  <si>
    <t xml:space="preserve">75 cm</t>
  </si>
  <si>
    <t xml:space="preserve">80 cm</t>
  </si>
  <si>
    <t xml:space="preserve">85 cm</t>
  </si>
  <si>
    <t xml:space="preserve">Standard polo cockpit: DPP Dynamic, Connect, Mamba, Lettmann, CPS, DBxclusive, Adrio</t>
  </si>
  <si>
    <t xml:space="preserve">XS–XL</t>
  </si>
  <si>
    <t xml:space="preserve">g1watersports.com; canoepolo.shop; jcpolo.co.nz</t>
  </si>
  <si>
    <t xml:space="preserve">Lettmann X-trem</t>
  </si>
  <si>
    <t xml:space="preserve">72 cm</t>
  </si>
  <si>
    <t xml:space="preserve">79 cm</t>
  </si>
  <si>
    <t xml:space="preserve">86 cm</t>
  </si>
  <si>
    <t xml:space="preserve">93 cm</t>
  </si>
  <si>
    <t xml:space="preserve">Lettmann polo cockpit "S": Sting, Sting PE, Blade, Blade PE, Equipe, Fighter L/XL, Strike</t>
  </si>
  <si>
    <t xml:space="preserve">lettmann-shop.de (product page + size PDF)</t>
  </si>
  <si>
    <t xml:space="preserve">Lettmann Rock</t>
  </si>
  <si>
    <t xml:space="preserve">–</t>
  </si>
  <si>
    <t xml:space="preserve">Lettmann polo cockpit "S" (as above)</t>
  </si>
  <si>
    <t xml:space="preserve">S–XL</t>
  </si>
  <si>
    <t xml:space="preserve">yes</t>
  </si>
  <si>
    <t xml:space="preserve">K1 polo cockpit</t>
  </si>
  <si>
    <t xml:space="preserve">S only</t>
  </si>
  <si>
    <t xml:space="preserve">hydtec.co; jcpolo.co.nz (no cm published)</t>
  </si>
  <si>
    <t xml:space="preserve">CPS, Lettmann, DPP Dynamic (larger cut, forward waist tube)</t>
  </si>
  <si>
    <t xml:space="preserve">XL only</t>
  </si>
  <si>
    <t xml:space="preserve">jcpolo.co.nz (no cm published)</t>
  </si>
  <si>
    <t xml:space="preserve">?</t>
  </si>
  <si>
    <t xml:space="preserve">one size</t>
  </si>
  <si>
    <t xml:space="preserve">Not listed by Vortex. To confirm.</t>
  </si>
  <si>
    <t xml:space="preserve">Figures are the tube sizes each manufacturer labels its sizes with. Neither G1 nor Lettmann states whether they are relaxed or stretched circumference, so treat them as a guide to the waist measurement.</t>
  </si>
  <si>
    <t xml:space="preserve">How-to-measure note (goes on all six deck pages): measure around your waist where the deck tube will sit, wearing what you normally paddle in, and pick the closest tube size; tighter for competition, looser for comfort; or send us your waist and boat model.</t>
  </si>
  <si>
    <t xml:space="preserve">Question</t>
  </si>
  <si>
    <t xml:space="preserve">Your answer</t>
  </si>
  <si>
    <t xml:space="preserve">Key</t>
  </si>
  <si>
    <t xml:space="preserve">URL</t>
  </si>
  <si>
    <t xml:space="preserve">Used for</t>
  </si>
  <si>
    <t xml:space="preserve">VX_SYN_PC</t>
  </si>
  <si>
    <t xml:space="preserve">https://vortexkayaks.com/products/product/synergy-pro-carbon</t>
  </si>
  <si>
    <t xml:space="preserve">VX_SYN_CK</t>
  </si>
  <si>
    <t xml:space="preserve">https://vortexkayaks.com/products/product/sunergycarb-kev</t>
  </si>
  <si>
    <t xml:space="preserve">VX_IGN_BK</t>
  </si>
  <si>
    <t xml:space="preserve">Vortex Paddle Full; Vortex Ignite Lite Blade (kevlar edge); Vortex Shaft Flexx 310</t>
  </si>
  <si>
    <t xml:space="preserve">VX_IGN_IN</t>
  </si>
  <si>
    <t xml:space="preserve">VX_TWS</t>
  </si>
  <si>
    <t xml:space="preserve">VX_KHD</t>
  </si>
  <si>
    <t xml:space="preserve">Vortex Kinetic HD Blade (kevlar edge); Vortex Single Blade (any model)</t>
  </si>
  <si>
    <t xml:space="preserve">VX_KS</t>
  </si>
  <si>
    <t xml:space="preserve">VX_X32</t>
  </si>
  <si>
    <t xml:space="preserve">VX_X33</t>
  </si>
  <si>
    <t xml:space="preserve">VX_X34</t>
  </si>
  <si>
    <t xml:space="preserve">Vortex Paddle Full; Vortex Shaft Medium 250; Vortex Blade+Shaft Assembly (service)</t>
  </si>
  <si>
    <t xml:space="preserve">VX_X36</t>
  </si>
  <si>
    <t xml:space="preserve">VX_X37</t>
  </si>
  <si>
    <t xml:space="preserve">VX_X38</t>
  </si>
  <si>
    <t xml:space="preserve">VX_BAG2</t>
  </si>
  <si>
    <t xml:space="preserve">VX_BAG4</t>
  </si>
  <si>
    <t xml:space="preserve">JC_IGN</t>
  </si>
  <si>
    <t xml:space="preserve">FAL_ONE</t>
  </si>
  <si>
    <t xml:space="preserve">https://falconpaddles.eu/falcon-one/</t>
  </si>
  <si>
    <t xml:space="preserve">Falcon One Paddle; Falcon One Blade</t>
  </si>
  <si>
    <t xml:space="preserve">FAL_EVO</t>
  </si>
  <si>
    <t xml:space="preserve">https://falconpaddles.eu/falcon-evo/</t>
  </si>
  <si>
    <t xml:space="preserve">Falcon EVO Paddle; Falcon EVO Blades</t>
  </si>
  <si>
    <t xml:space="preserve">FAL_SHF</t>
  </si>
  <si>
    <t xml:space="preserve">https://falconpaddles.eu/falcon-shafts/</t>
  </si>
  <si>
    <t xml:space="preserve">FAL_FAQ</t>
  </si>
  <si>
    <t xml:space="preserve">https://falconpaddles.eu/faq/</t>
  </si>
  <si>
    <t xml:space="preserve">Falcon One Paddle; Falcon One Blade; Falcon EVO Paddle; Falcon EVO Blades; Falcon Shaft</t>
  </si>
  <si>
    <t xml:space="preserve">JC_FAL_EVO</t>
  </si>
  <si>
    <t xml:space="preserve">https://jcpolo.co.nz/products/falcon-evo-polo-paddle</t>
  </si>
  <si>
    <t xml:space="preserve">JC_FAL_ONE</t>
  </si>
  <si>
    <t xml:space="preserve">https://jcpolo.co.nz/products/falcon-polo-paddle</t>
  </si>
  <si>
    <t xml:space="preserve">CPS_FAL_EVO</t>
  </si>
  <si>
    <t xml:space="preserve">https://canoepolo.shop/en/en-Canoepolo-Paddles/en-Paddleblades/en-Falcon-EVO-Blades</t>
  </si>
  <si>
    <t xml:space="preserve">CPS_FAL_ONE</t>
  </si>
  <si>
    <t xml:space="preserve">https://canoepolo.shop/en/en-Canoepolo-Paddles/en-Paddleblades/en-Falcon-ONE-Blades</t>
  </si>
  <si>
    <t xml:space="preserve">HY_HLM</t>
  </si>
  <si>
    <t xml:space="preserve">Hydtec Polo Helmet; Hydtec Grill / Face Guard</t>
  </si>
  <si>
    <t xml:space="preserve">HY_PFD</t>
  </si>
  <si>
    <t xml:space="preserve">https://hydtec.co/hydtec-canoe-polo-pfd-personal-flotation-device</t>
  </si>
  <si>
    <t xml:space="preserve">HY_SD</t>
  </si>
  <si>
    <t xml:space="preserve">https://hydtec.co/hydtec-spray-deck</t>
  </si>
  <si>
    <t xml:space="preserve">JC_HY_SD</t>
  </si>
  <si>
    <t xml:space="preserve">https://jcpolo.co.nz/products/hydtec-polo-deck-new</t>
  </si>
  <si>
    <t xml:space="preserve">JC_HY_PFD</t>
  </si>
  <si>
    <t xml:space="preserve">https://jcpolo.co.nz/products/polo-pfd-hydtec</t>
  </si>
  <si>
    <t xml:space="preserve">JC_HY_HLM</t>
  </si>
  <si>
    <t xml:space="preserve">https://jcpolo.co.nz/products/hydtec-polo-helmet-new-copy</t>
  </si>
  <si>
    <t xml:space="preserve">DPP_SHF</t>
  </si>
  <si>
    <t xml:space="preserve">DPP Dynamic Paddle; DPP Shaft 27mm</t>
  </si>
  <si>
    <t xml:space="preserve">https://g1watersports.com/products/g1-spraydeck</t>
  </si>
  <si>
    <t xml:space="preserve">CPS_G1</t>
  </si>
  <si>
    <t xml:space="preserve">https://canoepolo.shop/en/en-Spraydeck/en-G1-Watersports-Canoepolo-Spraydeck</t>
  </si>
  <si>
    <t xml:space="preserve">JC_G1</t>
  </si>
  <si>
    <t xml:space="preserve">https://jcpolo.co.nz/products/g1-kevlar-spraydeck-polo</t>
  </si>
  <si>
    <t xml:space="preserve">JC_CPS_SD</t>
  </si>
  <si>
    <t xml:space="preserve">TRI_WS</t>
  </si>
  <si>
    <t xml:space="preserve">https://www.trimona.com/produkt/trimona-white-shark-handballharz-250-g/</t>
  </si>
  <si>
    <t xml:space="preserve">TRI_WT</t>
  </si>
  <si>
    <t xml:space="preserve">https://www.trimona.com/white-shark-handballharz-wtpolo-supply/</t>
  </si>
  <si>
    <t xml:space="preserve">LET_STPE</t>
  </si>
  <si>
    <t xml:space="preserve">https://lettmann-shop.de/boote/kajak-einer/wettkampf-kajak/kanu-polo/3845/blade-pe-club</t>
  </si>
  <si>
    <t xml:space="preserve">LET_PDL</t>
  </si>
  <si>
    <t xml:space="preserve">https://lettmann-shop.de/paddel/doppelpaddel/polo-paddel/3854/polo-lcs-70-paddel</t>
  </si>
  <si>
    <t xml:space="preserve">LET_ROCK</t>
  </si>
  <si>
    <t xml:space="preserve">https://lettmann-shop.de/zubehoer/spritzdecken/179/polo/slalom-neorpen-spritzdecke-rock</t>
  </si>
  <si>
    <t xml:space="preserve">LET_XTREM</t>
  </si>
  <si>
    <t xml:space="preserve">https://lettmann-shop.de/zubehoer/spritzdecken/124/polo-neorpen-spritzdecke-xtrem</t>
  </si>
  <si>
    <t xml:space="preserve">LET_DECKPDF</t>
  </si>
  <si>
    <t xml:space="preserve">https://lettmann-shop.de/media/pdf/90/bf/01/Spritzdeckengroessenkajaks2.pdf</t>
  </si>
  <si>
    <t xml:space="preserve">Lettmann Sting PE Polo Kayak; Lettmann Granate Polo Kayak; Lettmann Polo Spraycover X-trem; Lettmann Polo Spraycover Rock</t>
  </si>
  <si>
    <t xml:space="preserve">LET_BMP1</t>
  </si>
  <si>
    <t xml:space="preserve">https://lettmann-shop.de/bootsausruestung/ersatzteile/3035/polo-puffer-integriert-fuer-blade-4-und-sting</t>
  </si>
  <si>
    <t xml:space="preserve">LET_BMP2</t>
  </si>
  <si>
    <t xml:space="preserve">https://lettmann-shop.de/bootsausruestung/ersatzteile/1330/polo-puffer-integriert-fuer-strike-blade-ii-iii-fighter-ii-und-fighter-xxl</t>
  </si>
  <si>
    <t xml:space="preserve">LET_DUDE</t>
  </si>
  <si>
    <t xml:space="preserve">LET_GRAN</t>
  </si>
  <si>
    <t xml:space="preserve">https://lettmann-shop.de/angeboote/auslaufmodelle/3967/granate-m-club</t>
  </si>
  <si>
    <t xml:space="preserve">ICF</t>
  </si>
  <si>
    <t xml:space="preserve">Vortex Synergy; JEM Apollo Carbon Kevlar; JEM Apollo Aracarr; JEM Apollo Aracarr Team; JEM Apollo Carbon Elite Infusion; Lettmann Sting PE Polo Kayak; Falcon One Paddle; Falcon EVO Paddle; Lettmann Polo Paddle (LCS90 Ultralight); DPP Shaft 27mm; Hydtec Spray Deck; Hydtec Polo Helmet</t>
  </si>
  <si>
    <t xml:space="preserve">(other)</t>
  </si>
  <si>
    <t xml:space="preserve">https://lettmann.de/boote/polo-kajak</t>
  </si>
  <si>
    <t xml:space="preserve">Lettmann Bumper - integrated (Sting/Blade 4); Lettmann Bumper - integrated (Blade 2+3/Fighter II/Strike 7)</t>
  </si>
</sst>
</file>

<file path=xl/styles.xml><?xml version="1.0" encoding="utf-8"?>
<styleSheet xmlns="http://schemas.openxmlformats.org/spreadsheetml/2006/main">
  <numFmts count="3">
    <numFmt numFmtId="164" formatCode="General"/>
    <numFmt numFmtId="165" formatCode="\$#,##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b val="true"/>
      <sz val="10"/>
      <color rgb="FFB26B00"/>
      <name val="Arial"/>
      <family val="0"/>
      <charset val="1"/>
    </font>
    <font>
      <b val="true"/>
      <sz val="10"/>
      <color rgb="FFC00000"/>
      <name val="Arial"/>
      <family val="0"/>
      <charset val="1"/>
    </font>
    <font>
      <b val="true"/>
      <sz val="10"/>
      <color rgb="FF1E7B34"/>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1E7B34"/>
          <bgColor rgb="FF000000"/>
        </patternFill>
      </fill>
    </dxf>
    <dxf>
      <fill>
        <patternFill patternType="solid">
          <fgColor rgb="FFB26B00"/>
          <bgColor rgb="FF000000"/>
        </patternFill>
      </fill>
    </dxf>
    <dxf>
      <fill>
        <patternFill patternType="solid">
          <fgColor rgb="FFC00000"/>
          <bgColor rgb="FF000000"/>
        </patternFill>
      </fill>
    </dxf>
    <dxf>
      <fill>
        <patternFill patternType="solid">
          <fgColor rgb="FFFFF2CC"/>
          <bgColor rgb="FF000000"/>
        </patternFill>
      </fill>
    </dxf>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1E7B34"/>
      <rgbColor rgb="FF000080"/>
      <rgbColor rgb="FFB26B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23.8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28"/>
    <col collapsed="false" customWidth="true" hidden="false" outlineLevel="0" max="4" min="4" style="0" width="11"/>
    <col collapsed="false" customWidth="true" hidden="false" outlineLevel="0" max="5" min="5" style="0" width="9"/>
    <col collapsed="false" customWidth="true" hidden="false" outlineLevel="0" max="6" min="6" style="0" width="8"/>
    <col collapsed="false" customWidth="true" hidden="false" outlineLevel="0" max="7" min="7" style="0" width="45"/>
    <col collapsed="false" customWidth="true" hidden="false" outlineLevel="0" max="8" min="8" style="0" width="38"/>
    <col collapsed="false" customWidth="true" hidden="false" outlineLevel="0" max="9" min="9" style="0" width="6"/>
    <col collapsed="false" customWidth="true" hidden="false" outlineLevel="0" max="10" min="10" style="0" width="48"/>
    <col collapsed="false" customWidth="true" hidden="false" outlineLevel="0" max="11" min="11" style="0" width="6"/>
    <col collapsed="false" customWidth="true" hidden="false" outlineLevel="0" max="12" min="12" style="0" width="80"/>
    <col collapsed="false" customWidth="true" hidden="false" outlineLevel="0" max="13" min="13" style="0" width="50"/>
    <col collapsed="false" customWidth="true" hidden="false" outlineLevel="0" max="14" min="14" style="0" width="30"/>
    <col collapsed="false" customWidth="true" hidden="false" outlineLevel="0" max="15" min="15" style="0" width="45"/>
    <col collapsed="false" customWidth="true" hidden="false" outlineLevel="0" max="16" min="16" style="0" width="12"/>
    <col collapsed="false" customWidth="true" hidden="false" outlineLevel="0" max="17" min="17" style="0" width="40"/>
  </cols>
  <sheetData>
    <row r="1" customFormat="false" ht="39.55" hidden="false" customHeight="false" outlineLevel="0" collapsed="false">
      <c r="A1" s="4" t="s">
        <v>18</v>
      </c>
      <c r="B1" s="4" t="s">
        <v>19</v>
      </c>
      <c r="C1" s="4" t="s">
        <v>20</v>
      </c>
      <c r="D1" s="4" t="s">
        <v>21</v>
      </c>
      <c r="E1" s="4" t="s">
        <v>22</v>
      </c>
      <c r="F1" s="4" t="s">
        <v>23</v>
      </c>
      <c r="G1" s="4" t="s">
        <v>24</v>
      </c>
      <c r="H1" s="4" t="s">
        <v>25</v>
      </c>
      <c r="I1" s="4" t="s">
        <v>26</v>
      </c>
      <c r="J1" s="4" t="s">
        <v>27</v>
      </c>
      <c r="K1" s="4" t="s">
        <v>26</v>
      </c>
      <c r="L1" s="4" t="s">
        <v>28</v>
      </c>
      <c r="M1" s="4" t="s">
        <v>29</v>
      </c>
      <c r="N1" s="4" t="s">
        <v>30</v>
      </c>
      <c r="O1" s="4" t="s">
        <v>31</v>
      </c>
      <c r="P1" s="4" t="s">
        <v>32</v>
      </c>
      <c r="Q1" s="4" t="s">
        <v>33</v>
      </c>
    </row>
    <row r="2" customFormat="false" ht="259.5" hidden="false" customHeight="true" outlineLevel="0" collapsed="false">
      <c r="A2" s="5" t="n">
        <v>1</v>
      </c>
      <c r="B2" s="5" t="s">
        <v>34</v>
      </c>
      <c r="C2" s="5" t="s">
        <v>35</v>
      </c>
      <c r="D2" s="5" t="s">
        <v>36</v>
      </c>
      <c r="E2" s="6" t="n">
        <v>4000</v>
      </c>
      <c r="F2" s="7" t="s">
        <v>37</v>
      </c>
      <c r="G2" s="5" t="s">
        <v>38</v>
      </c>
      <c r="H2" s="5" t="s">
        <v>39</v>
      </c>
      <c r="I2" s="8" t="n">
        <f aca="false">LEN(H2)</f>
        <v>48</v>
      </c>
      <c r="J2" s="5" t="s">
        <v>40</v>
      </c>
      <c r="K2" s="8" t="n">
        <f aca="false">LEN(J2)</f>
        <v>153</v>
      </c>
      <c r="L2" s="5" t="s">
        <v>41</v>
      </c>
      <c r="M2" s="5" t="s">
        <v>42</v>
      </c>
      <c r="N2" s="5" t="s">
        <v>43</v>
      </c>
      <c r="O2" s="5" t="s">
        <v>44</v>
      </c>
      <c r="P2" s="9"/>
      <c r="Q2" s="9"/>
    </row>
    <row r="3" customFormat="false" ht="60" hidden="false" customHeight="true" outlineLevel="0" collapsed="false">
      <c r="A3" s="5" t="n">
        <v>2</v>
      </c>
      <c r="B3" s="5" t="s">
        <v>45</v>
      </c>
      <c r="C3" s="5" t="s">
        <v>46</v>
      </c>
      <c r="D3" s="5" t="s">
        <v>47</v>
      </c>
      <c r="E3" s="6" t="n">
        <v>3100</v>
      </c>
      <c r="F3" s="10" t="s">
        <v>48</v>
      </c>
      <c r="G3" s="5" t="s">
        <v>49</v>
      </c>
      <c r="H3" s="5" t="s">
        <v>50</v>
      </c>
      <c r="I3" s="8" t="n">
        <f aca="false">LEN(H3)</f>
        <v>58</v>
      </c>
      <c r="J3" s="5" t="s">
        <v>51</v>
      </c>
      <c r="K3" s="8" t="n">
        <f aca="false">LEN(J3)</f>
        <v>123</v>
      </c>
      <c r="L3" s="5" t="s">
        <v>52</v>
      </c>
      <c r="M3" s="5" t="s">
        <v>53</v>
      </c>
      <c r="N3" s="5" t="s">
        <v>54</v>
      </c>
      <c r="O3" s="5" t="s">
        <v>55</v>
      </c>
      <c r="P3" s="9"/>
      <c r="Q3" s="9"/>
    </row>
    <row r="4" customFormat="false" ht="60" hidden="false" customHeight="true" outlineLevel="0" collapsed="false">
      <c r="A4" s="5" t="n">
        <v>3</v>
      </c>
      <c r="B4" s="5" t="s">
        <v>56</v>
      </c>
      <c r="C4" s="5" t="s">
        <v>57</v>
      </c>
      <c r="D4" s="5" t="s">
        <v>47</v>
      </c>
      <c r="E4" s="6" t="n">
        <v>3500</v>
      </c>
      <c r="F4" s="10" t="s">
        <v>48</v>
      </c>
      <c r="G4" s="5" t="s">
        <v>49</v>
      </c>
      <c r="H4" s="5" t="s">
        <v>58</v>
      </c>
      <c r="I4" s="8" t="n">
        <f aca="false">LEN(H4)</f>
        <v>52</v>
      </c>
      <c r="J4" s="5" t="s">
        <v>59</v>
      </c>
      <c r="K4" s="8" t="n">
        <f aca="false">LEN(J4)</f>
        <v>124</v>
      </c>
      <c r="L4" s="5" t="s">
        <v>60</v>
      </c>
      <c r="M4" s="5" t="s">
        <v>61</v>
      </c>
      <c r="N4" s="5" t="s">
        <v>54</v>
      </c>
      <c r="O4" s="5" t="s">
        <v>55</v>
      </c>
      <c r="P4" s="9"/>
      <c r="Q4" s="9"/>
    </row>
    <row r="5" customFormat="false" ht="60" hidden="false" customHeight="true" outlineLevel="0" collapsed="false">
      <c r="A5" s="5" t="n">
        <v>4</v>
      </c>
      <c r="B5" s="5" t="s">
        <v>62</v>
      </c>
      <c r="C5" s="5" t="s">
        <v>63</v>
      </c>
      <c r="D5" s="5" t="s">
        <v>47</v>
      </c>
      <c r="E5" s="6" t="n">
        <v>3800</v>
      </c>
      <c r="F5" s="10" t="s">
        <v>48</v>
      </c>
      <c r="G5" s="5" t="s">
        <v>49</v>
      </c>
      <c r="H5" s="5" t="s">
        <v>64</v>
      </c>
      <c r="I5" s="8" t="n">
        <f aca="false">LEN(H5)</f>
        <v>57</v>
      </c>
      <c r="J5" s="5" t="s">
        <v>65</v>
      </c>
      <c r="K5" s="8" t="n">
        <f aca="false">LEN(J5)</f>
        <v>135</v>
      </c>
      <c r="L5" s="5" t="s">
        <v>66</v>
      </c>
      <c r="M5" s="5" t="s">
        <v>67</v>
      </c>
      <c r="N5" s="5" t="s">
        <v>54</v>
      </c>
      <c r="O5" s="5" t="s">
        <v>55</v>
      </c>
      <c r="P5" s="9"/>
      <c r="Q5" s="9"/>
    </row>
    <row r="6" customFormat="false" ht="60" hidden="false" customHeight="true" outlineLevel="0" collapsed="false">
      <c r="A6" s="5" t="n">
        <v>5</v>
      </c>
      <c r="B6" s="5" t="s">
        <v>68</v>
      </c>
      <c r="C6" s="5" t="s">
        <v>69</v>
      </c>
      <c r="D6" s="5" t="s">
        <v>47</v>
      </c>
      <c r="E6" s="6" t="n">
        <v>4000</v>
      </c>
      <c r="F6" s="10" t="s">
        <v>48</v>
      </c>
      <c r="G6" s="5" t="s">
        <v>49</v>
      </c>
      <c r="H6" s="5" t="s">
        <v>70</v>
      </c>
      <c r="I6" s="8" t="n">
        <f aca="false">LEN(H6)</f>
        <v>54</v>
      </c>
      <c r="J6" s="5" t="s">
        <v>71</v>
      </c>
      <c r="K6" s="8" t="n">
        <f aca="false">LEN(J6)</f>
        <v>132</v>
      </c>
      <c r="L6" s="5" t="s">
        <v>72</v>
      </c>
      <c r="M6" s="5" t="s">
        <v>73</v>
      </c>
      <c r="N6" s="5" t="s">
        <v>54</v>
      </c>
      <c r="O6" s="5" t="s">
        <v>55</v>
      </c>
      <c r="P6" s="9"/>
      <c r="Q6" s="9"/>
    </row>
    <row r="7" customFormat="false" ht="259.5" hidden="false" customHeight="true" outlineLevel="0" collapsed="false">
      <c r="A7" s="5" t="n">
        <v>6</v>
      </c>
      <c r="B7" s="5" t="s">
        <v>74</v>
      </c>
      <c r="C7" s="5" t="s">
        <v>75</v>
      </c>
      <c r="D7" s="5" t="s">
        <v>76</v>
      </c>
      <c r="E7" s="6" t="n">
        <v>1200</v>
      </c>
      <c r="F7" s="11" t="s">
        <v>77</v>
      </c>
      <c r="G7" s="5"/>
      <c r="H7" s="5" t="s">
        <v>78</v>
      </c>
      <c r="I7" s="8" t="n">
        <f aca="false">LEN(H7)</f>
        <v>51</v>
      </c>
      <c r="J7" s="5" t="s">
        <v>79</v>
      </c>
      <c r="K7" s="8" t="n">
        <f aca="false">LEN(J7)</f>
        <v>146</v>
      </c>
      <c r="L7" s="5" t="s">
        <v>80</v>
      </c>
      <c r="M7" s="5" t="s">
        <v>81</v>
      </c>
      <c r="N7" s="5" t="s">
        <v>82</v>
      </c>
      <c r="O7" s="5" t="s">
        <v>83</v>
      </c>
      <c r="P7" s="9"/>
      <c r="Q7" s="9"/>
    </row>
    <row r="8" customFormat="false" ht="60" hidden="false" customHeight="true" outlineLevel="0" collapsed="false">
      <c r="A8" s="5" t="n">
        <v>7</v>
      </c>
      <c r="B8" s="5" t="s">
        <v>84</v>
      </c>
      <c r="C8" s="5" t="s">
        <v>85</v>
      </c>
      <c r="D8" s="5" t="s">
        <v>76</v>
      </c>
      <c r="E8" s="6" t="n">
        <v>4000</v>
      </c>
      <c r="F8" s="10" t="s">
        <v>48</v>
      </c>
      <c r="G8" s="5" t="s">
        <v>86</v>
      </c>
      <c r="H8" s="5" t="s">
        <v>87</v>
      </c>
      <c r="I8" s="8" t="n">
        <f aca="false">LEN(H8)</f>
        <v>45</v>
      </c>
      <c r="J8" s="5"/>
      <c r="K8" s="8" t="n">
        <f aca="false">LEN(J8)</f>
        <v>0</v>
      </c>
      <c r="L8" s="5" t="s">
        <v>88</v>
      </c>
      <c r="M8" s="5"/>
      <c r="N8" s="5"/>
      <c r="O8" s="5" t="s">
        <v>89</v>
      </c>
      <c r="P8" s="9"/>
      <c r="Q8" s="9"/>
    </row>
    <row r="9" customFormat="false" ht="259.5" hidden="false" customHeight="true" outlineLevel="0" collapsed="false">
      <c r="A9" s="5" t="n">
        <v>8</v>
      </c>
      <c r="B9" s="5" t="s">
        <v>90</v>
      </c>
      <c r="C9" s="5" t="s">
        <v>91</v>
      </c>
      <c r="D9" s="5" t="s">
        <v>76</v>
      </c>
      <c r="E9" s="6" t="n">
        <v>2500</v>
      </c>
      <c r="F9" s="7" t="s">
        <v>37</v>
      </c>
      <c r="G9" s="5" t="s">
        <v>92</v>
      </c>
      <c r="H9" s="5" t="s">
        <v>93</v>
      </c>
      <c r="I9" s="8" t="n">
        <f aca="false">LEN(H9)</f>
        <v>60</v>
      </c>
      <c r="J9" s="5" t="s">
        <v>94</v>
      </c>
      <c r="K9" s="8" t="n">
        <f aca="false">LEN(J9)</f>
        <v>142</v>
      </c>
      <c r="L9" s="5" t="s">
        <v>95</v>
      </c>
      <c r="M9" s="5" t="s">
        <v>96</v>
      </c>
      <c r="N9" s="5"/>
      <c r="O9" s="5" t="s">
        <v>97</v>
      </c>
      <c r="P9" s="9"/>
      <c r="Q9" s="9"/>
    </row>
    <row r="10" customFormat="false" ht="259.5" hidden="false" customHeight="true" outlineLevel="0" collapsed="false">
      <c r="A10" s="5" t="n">
        <v>9</v>
      </c>
      <c r="B10" s="5" t="s">
        <v>98</v>
      </c>
      <c r="C10" s="5" t="s">
        <v>99</v>
      </c>
      <c r="D10" s="5" t="s">
        <v>36</v>
      </c>
      <c r="E10" s="6" t="n">
        <v>550</v>
      </c>
      <c r="F10" s="7" t="s">
        <v>37</v>
      </c>
      <c r="G10" s="5" t="s">
        <v>100</v>
      </c>
      <c r="H10" s="5" t="s">
        <v>101</v>
      </c>
      <c r="I10" s="8" t="n">
        <f aca="false">LEN(H10)</f>
        <v>52</v>
      </c>
      <c r="J10" s="5" t="s">
        <v>102</v>
      </c>
      <c r="K10" s="8" t="n">
        <f aca="false">LEN(J10)</f>
        <v>146</v>
      </c>
      <c r="L10" s="5" t="s">
        <v>103</v>
      </c>
      <c r="M10" s="5" t="s">
        <v>104</v>
      </c>
      <c r="N10" s="5"/>
      <c r="O10" s="5" t="s">
        <v>105</v>
      </c>
      <c r="P10" s="9"/>
      <c r="Q10" s="9"/>
    </row>
    <row r="11" customFormat="false" ht="259.5" hidden="false" customHeight="true" outlineLevel="0" collapsed="false">
      <c r="A11" s="5" t="n">
        <v>10</v>
      </c>
      <c r="B11" s="5" t="s">
        <v>106</v>
      </c>
      <c r="C11" s="5" t="s">
        <v>107</v>
      </c>
      <c r="D11" s="5" t="s">
        <v>36</v>
      </c>
      <c r="E11" s="6" t="n">
        <v>480</v>
      </c>
      <c r="F11" s="11" t="s">
        <v>77</v>
      </c>
      <c r="G11" s="5" t="s">
        <v>108</v>
      </c>
      <c r="H11" s="5" t="s">
        <v>109</v>
      </c>
      <c r="I11" s="8" t="n">
        <f aca="false">LEN(H11)</f>
        <v>55</v>
      </c>
      <c r="J11" s="5" t="s">
        <v>110</v>
      </c>
      <c r="K11" s="8" t="n">
        <f aca="false">LEN(J11)</f>
        <v>134</v>
      </c>
      <c r="L11" s="5" t="s">
        <v>111</v>
      </c>
      <c r="M11" s="5" t="s">
        <v>112</v>
      </c>
      <c r="N11" s="5"/>
      <c r="O11" s="5" t="s">
        <v>113</v>
      </c>
      <c r="P11" s="9"/>
      <c r="Q11" s="9"/>
    </row>
    <row r="12" customFormat="false" ht="259.5" hidden="false" customHeight="true" outlineLevel="0" collapsed="false">
      <c r="A12" s="5" t="n">
        <v>11</v>
      </c>
      <c r="B12" s="5" t="s">
        <v>114</v>
      </c>
      <c r="C12" s="5" t="s">
        <v>115</v>
      </c>
      <c r="D12" s="5" t="s">
        <v>36</v>
      </c>
      <c r="E12" s="6" t="n">
        <v>480</v>
      </c>
      <c r="F12" s="11" t="s">
        <v>77</v>
      </c>
      <c r="G12" s="5" t="s">
        <v>108</v>
      </c>
      <c r="H12" s="5" t="s">
        <v>116</v>
      </c>
      <c r="I12" s="8" t="n">
        <f aca="false">LEN(H12)</f>
        <v>57</v>
      </c>
      <c r="J12" s="5" t="s">
        <v>117</v>
      </c>
      <c r="K12" s="8" t="n">
        <f aca="false">LEN(J12)</f>
        <v>138</v>
      </c>
      <c r="L12" s="5" t="s">
        <v>118</v>
      </c>
      <c r="M12" s="5" t="s">
        <v>119</v>
      </c>
      <c r="N12" s="5"/>
      <c r="O12" s="5" t="s">
        <v>120</v>
      </c>
      <c r="P12" s="9"/>
      <c r="Q12" s="9"/>
    </row>
    <row r="13" customFormat="false" ht="259.5" hidden="false" customHeight="true" outlineLevel="0" collapsed="false">
      <c r="A13" s="5" t="n">
        <v>12</v>
      </c>
      <c r="B13" s="5" t="s">
        <v>121</v>
      </c>
      <c r="C13" s="5" t="s">
        <v>122</v>
      </c>
      <c r="D13" s="5" t="s">
        <v>36</v>
      </c>
      <c r="E13" s="6" t="n">
        <v>480</v>
      </c>
      <c r="F13" s="11" t="s">
        <v>77</v>
      </c>
      <c r="G13" s="5" t="s">
        <v>108</v>
      </c>
      <c r="H13" s="5" t="s">
        <v>123</v>
      </c>
      <c r="I13" s="8" t="n">
        <f aca="false">LEN(H13)</f>
        <v>58</v>
      </c>
      <c r="J13" s="5" t="s">
        <v>124</v>
      </c>
      <c r="K13" s="8" t="n">
        <f aca="false">LEN(J13)</f>
        <v>138</v>
      </c>
      <c r="L13" s="5" t="s">
        <v>125</v>
      </c>
      <c r="M13" s="5" t="s">
        <v>126</v>
      </c>
      <c r="N13" s="5"/>
      <c r="O13" s="5" t="s">
        <v>127</v>
      </c>
      <c r="P13" s="9"/>
      <c r="Q13" s="9"/>
    </row>
    <row r="14" customFormat="false" ht="259.5" hidden="false" customHeight="true" outlineLevel="0" collapsed="false">
      <c r="A14" s="5" t="n">
        <v>13</v>
      </c>
      <c r="B14" s="5" t="s">
        <v>128</v>
      </c>
      <c r="C14" s="5" t="s">
        <v>129</v>
      </c>
      <c r="D14" s="5" t="s">
        <v>36</v>
      </c>
      <c r="E14" s="6" t="n">
        <v>480</v>
      </c>
      <c r="F14" s="11" t="s">
        <v>77</v>
      </c>
      <c r="G14" s="5" t="s">
        <v>108</v>
      </c>
      <c r="H14" s="5" t="s">
        <v>130</v>
      </c>
      <c r="I14" s="8" t="n">
        <f aca="false">LEN(H14)</f>
        <v>59</v>
      </c>
      <c r="J14" s="5" t="s">
        <v>131</v>
      </c>
      <c r="K14" s="8" t="n">
        <f aca="false">LEN(J14)</f>
        <v>142</v>
      </c>
      <c r="L14" s="5" t="s">
        <v>132</v>
      </c>
      <c r="M14" s="5" t="s">
        <v>133</v>
      </c>
      <c r="N14" s="5"/>
      <c r="O14" s="5" t="s">
        <v>134</v>
      </c>
      <c r="P14" s="9"/>
      <c r="Q14" s="9"/>
    </row>
    <row r="15" customFormat="false" ht="259.5" hidden="false" customHeight="true" outlineLevel="0" collapsed="false">
      <c r="A15" s="5" t="n">
        <v>14</v>
      </c>
      <c r="B15" s="5" t="s">
        <v>135</v>
      </c>
      <c r="C15" s="5" t="s">
        <v>136</v>
      </c>
      <c r="D15" s="5" t="s">
        <v>36</v>
      </c>
      <c r="E15" s="6" t="n">
        <v>480</v>
      </c>
      <c r="F15" s="11" t="s">
        <v>77</v>
      </c>
      <c r="G15" s="5" t="s">
        <v>108</v>
      </c>
      <c r="H15" s="5" t="s">
        <v>137</v>
      </c>
      <c r="I15" s="8" t="n">
        <f aca="false">LEN(H15)</f>
        <v>55</v>
      </c>
      <c r="J15" s="5" t="s">
        <v>138</v>
      </c>
      <c r="K15" s="8" t="n">
        <f aca="false">LEN(J15)</f>
        <v>140</v>
      </c>
      <c r="L15" s="5" t="s">
        <v>139</v>
      </c>
      <c r="M15" s="5" t="s">
        <v>140</v>
      </c>
      <c r="N15" s="5"/>
      <c r="O15" s="5" t="s">
        <v>141</v>
      </c>
      <c r="P15" s="9"/>
      <c r="Q15" s="9"/>
    </row>
    <row r="16" customFormat="false" ht="259.5" hidden="false" customHeight="true" outlineLevel="0" collapsed="false">
      <c r="A16" s="5" t="n">
        <v>15</v>
      </c>
      <c r="B16" s="5" t="s">
        <v>142</v>
      </c>
      <c r="C16" s="5" t="s">
        <v>143</v>
      </c>
      <c r="D16" s="5" t="s">
        <v>36</v>
      </c>
      <c r="E16" s="6" t="n">
        <v>440</v>
      </c>
      <c r="F16" s="7" t="s">
        <v>37</v>
      </c>
      <c r="G16" s="5" t="s">
        <v>144</v>
      </c>
      <c r="H16" s="5" t="s">
        <v>145</v>
      </c>
      <c r="I16" s="8" t="n">
        <f aca="false">LEN(H16)</f>
        <v>54</v>
      </c>
      <c r="J16" s="5" t="s">
        <v>146</v>
      </c>
      <c r="K16" s="8" t="n">
        <f aca="false">LEN(J16)</f>
        <v>150</v>
      </c>
      <c r="L16" s="5" t="s">
        <v>147</v>
      </c>
      <c r="M16" s="5" t="s">
        <v>148</v>
      </c>
      <c r="N16" s="5"/>
      <c r="O16" s="5" t="s">
        <v>149</v>
      </c>
      <c r="P16" s="9"/>
      <c r="Q16" s="9"/>
    </row>
    <row r="17" customFormat="false" ht="259.5" hidden="false" customHeight="true" outlineLevel="0" collapsed="false">
      <c r="A17" s="5" t="n">
        <v>16</v>
      </c>
      <c r="B17" s="5" t="s">
        <v>150</v>
      </c>
      <c r="C17" s="5" t="s">
        <v>151</v>
      </c>
      <c r="D17" s="5" t="s">
        <v>36</v>
      </c>
      <c r="E17" s="6" t="n">
        <v>220</v>
      </c>
      <c r="F17" s="11" t="s">
        <v>77</v>
      </c>
      <c r="G17" s="5"/>
      <c r="H17" s="5" t="s">
        <v>152</v>
      </c>
      <c r="I17" s="8" t="n">
        <f aca="false">LEN(H17)</f>
        <v>59</v>
      </c>
      <c r="J17" s="5" t="s">
        <v>153</v>
      </c>
      <c r="K17" s="8" t="n">
        <f aca="false">LEN(J17)</f>
        <v>141</v>
      </c>
      <c r="L17" s="5" t="s">
        <v>154</v>
      </c>
      <c r="M17" s="5" t="s">
        <v>155</v>
      </c>
      <c r="N17" s="5"/>
      <c r="O17" s="5" t="s">
        <v>134</v>
      </c>
      <c r="P17" s="9"/>
      <c r="Q17" s="9"/>
    </row>
    <row r="18" customFormat="false" ht="259.5" hidden="false" customHeight="true" outlineLevel="0" collapsed="false">
      <c r="A18" s="5" t="n">
        <v>17</v>
      </c>
      <c r="B18" s="5" t="s">
        <v>156</v>
      </c>
      <c r="C18" s="5" t="s">
        <v>157</v>
      </c>
      <c r="D18" s="5" t="s">
        <v>158</v>
      </c>
      <c r="E18" s="6" t="n">
        <v>500</v>
      </c>
      <c r="F18" s="11" t="s">
        <v>77</v>
      </c>
      <c r="G18" s="5" t="s">
        <v>159</v>
      </c>
      <c r="H18" s="5" t="s">
        <v>160</v>
      </c>
      <c r="I18" s="8" t="n">
        <f aca="false">LEN(H18)</f>
        <v>51</v>
      </c>
      <c r="J18" s="5" t="s">
        <v>161</v>
      </c>
      <c r="K18" s="8" t="n">
        <f aca="false">LEN(J18)</f>
        <v>138</v>
      </c>
      <c r="L18" s="5" t="s">
        <v>162</v>
      </c>
      <c r="M18" s="5" t="s">
        <v>163</v>
      </c>
      <c r="N18" s="5"/>
      <c r="O18" s="5" t="s">
        <v>164</v>
      </c>
      <c r="P18" s="9"/>
      <c r="Q18" s="9"/>
    </row>
    <row r="19" customFormat="false" ht="259.5" hidden="false" customHeight="true" outlineLevel="0" collapsed="false">
      <c r="A19" s="5" t="n">
        <v>18</v>
      </c>
      <c r="B19" s="5" t="s">
        <v>165</v>
      </c>
      <c r="C19" s="5" t="s">
        <v>166</v>
      </c>
      <c r="D19" s="5" t="s">
        <v>158</v>
      </c>
      <c r="E19" s="6" t="n">
        <v>400</v>
      </c>
      <c r="F19" s="7" t="s">
        <v>37</v>
      </c>
      <c r="G19" s="5" t="s">
        <v>167</v>
      </c>
      <c r="H19" s="5" t="s">
        <v>168</v>
      </c>
      <c r="I19" s="8" t="n">
        <f aca="false">LEN(H19)</f>
        <v>51</v>
      </c>
      <c r="J19" s="5" t="s">
        <v>169</v>
      </c>
      <c r="K19" s="8" t="n">
        <f aca="false">LEN(J19)</f>
        <v>138</v>
      </c>
      <c r="L19" s="5" t="s">
        <v>170</v>
      </c>
      <c r="M19" s="5" t="s">
        <v>171</v>
      </c>
      <c r="N19" s="5"/>
      <c r="O19" s="5" t="s">
        <v>172</v>
      </c>
      <c r="P19" s="9"/>
      <c r="Q19" s="9"/>
    </row>
    <row r="20" customFormat="false" ht="259.5" hidden="false" customHeight="true" outlineLevel="0" collapsed="false">
      <c r="A20" s="5" t="n">
        <v>19</v>
      </c>
      <c r="B20" s="5" t="s">
        <v>173</v>
      </c>
      <c r="C20" s="5" t="s">
        <v>174</v>
      </c>
      <c r="D20" s="5" t="s">
        <v>158</v>
      </c>
      <c r="E20" s="6" t="n">
        <v>600</v>
      </c>
      <c r="F20" s="11" t="s">
        <v>77</v>
      </c>
      <c r="G20" s="5" t="s">
        <v>175</v>
      </c>
      <c r="H20" s="5" t="s">
        <v>176</v>
      </c>
      <c r="I20" s="8" t="n">
        <f aca="false">LEN(H20)</f>
        <v>51</v>
      </c>
      <c r="J20" s="5" t="s">
        <v>177</v>
      </c>
      <c r="K20" s="8" t="n">
        <f aca="false">LEN(J20)</f>
        <v>140</v>
      </c>
      <c r="L20" s="5" t="s">
        <v>178</v>
      </c>
      <c r="M20" s="5" t="s">
        <v>179</v>
      </c>
      <c r="N20" s="5"/>
      <c r="O20" s="5" t="s">
        <v>180</v>
      </c>
      <c r="P20" s="9"/>
      <c r="Q20" s="9"/>
    </row>
    <row r="21" customFormat="false" ht="259.5" hidden="false" customHeight="true" outlineLevel="0" collapsed="false">
      <c r="A21" s="5" t="n">
        <v>20</v>
      </c>
      <c r="B21" s="5" t="s">
        <v>181</v>
      </c>
      <c r="C21" s="5" t="s">
        <v>182</v>
      </c>
      <c r="D21" s="5" t="s">
        <v>158</v>
      </c>
      <c r="E21" s="6" t="n">
        <v>500</v>
      </c>
      <c r="F21" s="7" t="s">
        <v>37</v>
      </c>
      <c r="G21" s="5" t="s">
        <v>183</v>
      </c>
      <c r="H21" s="5" t="s">
        <v>184</v>
      </c>
      <c r="I21" s="8" t="n">
        <f aca="false">LEN(H21)</f>
        <v>51</v>
      </c>
      <c r="J21" s="5" t="s">
        <v>185</v>
      </c>
      <c r="K21" s="8" t="n">
        <f aca="false">LEN(J21)</f>
        <v>135</v>
      </c>
      <c r="L21" s="5" t="s">
        <v>186</v>
      </c>
      <c r="M21" s="5" t="s">
        <v>187</v>
      </c>
      <c r="N21" s="5"/>
      <c r="O21" s="5" t="s">
        <v>188</v>
      </c>
      <c r="P21" s="9"/>
      <c r="Q21" s="9"/>
    </row>
    <row r="22" customFormat="false" ht="60" hidden="false" customHeight="true" outlineLevel="0" collapsed="false">
      <c r="A22" s="5" t="n">
        <v>21</v>
      </c>
      <c r="B22" s="5" t="s">
        <v>189</v>
      </c>
      <c r="C22" s="5" t="s">
        <v>190</v>
      </c>
      <c r="D22" s="5" t="s">
        <v>191</v>
      </c>
      <c r="E22" s="6" t="n">
        <v>165</v>
      </c>
      <c r="F22" s="10" t="s">
        <v>48</v>
      </c>
      <c r="G22" s="5" t="s">
        <v>192</v>
      </c>
      <c r="H22" s="5" t="s">
        <v>193</v>
      </c>
      <c r="I22" s="8" t="n">
        <f aca="false">LEN(H22)</f>
        <v>52</v>
      </c>
      <c r="J22" s="5"/>
      <c r="K22" s="8" t="n">
        <f aca="false">LEN(J22)</f>
        <v>0</v>
      </c>
      <c r="L22" s="5" t="s">
        <v>194</v>
      </c>
      <c r="M22" s="5"/>
      <c r="N22" s="5"/>
      <c r="O22" s="5" t="s">
        <v>195</v>
      </c>
      <c r="P22" s="9"/>
      <c r="Q22" s="9"/>
    </row>
    <row r="23" customFormat="false" ht="259.5" hidden="false" customHeight="true" outlineLevel="0" collapsed="false">
      <c r="A23" s="5" t="n">
        <v>22</v>
      </c>
      <c r="B23" s="5" t="s">
        <v>196</v>
      </c>
      <c r="C23" s="5" t="s">
        <v>197</v>
      </c>
      <c r="D23" s="5" t="s">
        <v>76</v>
      </c>
      <c r="E23" s="6" t="n">
        <v>1000</v>
      </c>
      <c r="F23" s="11" t="s">
        <v>77</v>
      </c>
      <c r="G23" s="5" t="s">
        <v>198</v>
      </c>
      <c r="H23" s="5" t="s">
        <v>199</v>
      </c>
      <c r="I23" s="8" t="n">
        <f aca="false">LEN(H23)</f>
        <v>54</v>
      </c>
      <c r="J23" s="5" t="s">
        <v>200</v>
      </c>
      <c r="K23" s="8" t="n">
        <f aca="false">LEN(J23)</f>
        <v>136</v>
      </c>
      <c r="L23" s="5" t="s">
        <v>201</v>
      </c>
      <c r="M23" s="5" t="s">
        <v>202</v>
      </c>
      <c r="N23" s="5"/>
      <c r="O23" s="5" t="s">
        <v>203</v>
      </c>
      <c r="P23" s="9"/>
      <c r="Q23" s="9"/>
    </row>
    <row r="24" customFormat="false" ht="60" hidden="false" customHeight="true" outlineLevel="0" collapsed="false">
      <c r="A24" s="5" t="n">
        <v>23</v>
      </c>
      <c r="B24" s="5" t="s">
        <v>204</v>
      </c>
      <c r="C24" s="5" t="s">
        <v>205</v>
      </c>
      <c r="D24" s="5" t="s">
        <v>47</v>
      </c>
      <c r="E24" s="6" t="n">
        <v>600</v>
      </c>
      <c r="F24" s="10" t="s">
        <v>48</v>
      </c>
      <c r="G24" s="5" t="s">
        <v>206</v>
      </c>
      <c r="H24" s="5" t="s">
        <v>207</v>
      </c>
      <c r="I24" s="8" t="n">
        <f aca="false">LEN(H24)</f>
        <v>53</v>
      </c>
      <c r="J24" s="5"/>
      <c r="K24" s="8" t="n">
        <f aca="false">LEN(J24)</f>
        <v>0</v>
      </c>
      <c r="L24" s="5" t="s">
        <v>208</v>
      </c>
      <c r="M24" s="5"/>
      <c r="N24" s="5"/>
      <c r="O24" s="5"/>
      <c r="P24" s="9"/>
      <c r="Q24" s="9"/>
    </row>
    <row r="25" customFormat="false" ht="259.5" hidden="false" customHeight="true" outlineLevel="0" collapsed="false">
      <c r="A25" s="5" t="n">
        <v>24</v>
      </c>
      <c r="B25" s="5" t="s">
        <v>209</v>
      </c>
      <c r="C25" s="5" t="s">
        <v>210</v>
      </c>
      <c r="D25" s="5" t="s">
        <v>36</v>
      </c>
      <c r="E25" s="6" t="n">
        <v>140</v>
      </c>
      <c r="F25" s="7" t="s">
        <v>37</v>
      </c>
      <c r="G25" s="5" t="s">
        <v>211</v>
      </c>
      <c r="H25" s="5" t="s">
        <v>212</v>
      </c>
      <c r="I25" s="8" t="n">
        <f aca="false">LEN(H25)</f>
        <v>55</v>
      </c>
      <c r="J25" s="5" t="s">
        <v>213</v>
      </c>
      <c r="K25" s="8" t="n">
        <f aca="false">LEN(J25)</f>
        <v>134</v>
      </c>
      <c r="L25" s="5" t="s">
        <v>214</v>
      </c>
      <c r="M25" s="5" t="s">
        <v>215</v>
      </c>
      <c r="N25" s="5"/>
      <c r="O25" s="5" t="s">
        <v>216</v>
      </c>
      <c r="P25" s="9"/>
      <c r="Q25" s="9"/>
    </row>
    <row r="26" customFormat="false" ht="259.5" hidden="false" customHeight="true" outlineLevel="0" collapsed="false">
      <c r="A26" s="5" t="n">
        <v>25</v>
      </c>
      <c r="B26" s="5" t="s">
        <v>217</v>
      </c>
      <c r="C26" s="5" t="s">
        <v>218</v>
      </c>
      <c r="D26" s="5" t="s">
        <v>36</v>
      </c>
      <c r="E26" s="6" t="n">
        <v>140</v>
      </c>
      <c r="F26" s="7" t="s">
        <v>37</v>
      </c>
      <c r="G26" s="5" t="s">
        <v>219</v>
      </c>
      <c r="H26" s="5" t="s">
        <v>220</v>
      </c>
      <c r="I26" s="8" t="n">
        <f aca="false">LEN(H26)</f>
        <v>51</v>
      </c>
      <c r="J26" s="5" t="s">
        <v>221</v>
      </c>
      <c r="K26" s="8" t="n">
        <f aca="false">LEN(J26)</f>
        <v>138</v>
      </c>
      <c r="L26" s="5" t="s">
        <v>222</v>
      </c>
      <c r="M26" s="5" t="s">
        <v>223</v>
      </c>
      <c r="N26" s="5"/>
      <c r="O26" s="5" t="s">
        <v>224</v>
      </c>
      <c r="P26" s="9"/>
      <c r="Q26" s="9"/>
    </row>
    <row r="27" customFormat="false" ht="259.5" hidden="false" customHeight="true" outlineLevel="0" collapsed="false">
      <c r="A27" s="5" t="n">
        <v>26</v>
      </c>
      <c r="B27" s="5" t="s">
        <v>225</v>
      </c>
      <c r="C27" s="5" t="s">
        <v>226</v>
      </c>
      <c r="D27" s="5" t="s">
        <v>36</v>
      </c>
      <c r="E27" s="6" t="n">
        <v>140</v>
      </c>
      <c r="F27" s="7" t="s">
        <v>37</v>
      </c>
      <c r="G27" s="5" t="s">
        <v>227</v>
      </c>
      <c r="H27" s="5" t="s">
        <v>228</v>
      </c>
      <c r="I27" s="8" t="n">
        <f aca="false">LEN(H27)</f>
        <v>50</v>
      </c>
      <c r="J27" s="5" t="s">
        <v>229</v>
      </c>
      <c r="K27" s="8" t="n">
        <f aca="false">LEN(J27)</f>
        <v>127</v>
      </c>
      <c r="L27" s="5" t="s">
        <v>230</v>
      </c>
      <c r="M27" s="5" t="s">
        <v>231</v>
      </c>
      <c r="N27" s="5"/>
      <c r="O27" s="5" t="s">
        <v>232</v>
      </c>
      <c r="P27" s="9"/>
      <c r="Q27" s="9"/>
    </row>
    <row r="28" customFormat="false" ht="259.5" hidden="false" customHeight="true" outlineLevel="0" collapsed="false">
      <c r="A28" s="5" t="n">
        <v>27</v>
      </c>
      <c r="B28" s="5" t="s">
        <v>233</v>
      </c>
      <c r="C28" s="5" t="s">
        <v>234</v>
      </c>
      <c r="D28" s="5" t="s">
        <v>36</v>
      </c>
      <c r="E28" s="6" t="n">
        <v>140</v>
      </c>
      <c r="F28" s="7" t="s">
        <v>37</v>
      </c>
      <c r="G28" s="5" t="s">
        <v>235</v>
      </c>
      <c r="H28" s="5" t="s">
        <v>236</v>
      </c>
      <c r="I28" s="8" t="n">
        <f aca="false">LEN(H28)</f>
        <v>49</v>
      </c>
      <c r="J28" s="5" t="s">
        <v>237</v>
      </c>
      <c r="K28" s="8" t="n">
        <f aca="false">LEN(J28)</f>
        <v>131</v>
      </c>
      <c r="L28" s="5" t="s">
        <v>238</v>
      </c>
      <c r="M28" s="5" t="s">
        <v>239</v>
      </c>
      <c r="N28" s="5"/>
      <c r="O28" s="5" t="s">
        <v>240</v>
      </c>
      <c r="P28" s="9"/>
      <c r="Q28" s="9"/>
    </row>
    <row r="29" customFormat="false" ht="259.5" hidden="false" customHeight="true" outlineLevel="0" collapsed="false">
      <c r="A29" s="5" t="n">
        <v>28</v>
      </c>
      <c r="B29" s="5" t="s">
        <v>241</v>
      </c>
      <c r="C29" s="5" t="s">
        <v>242</v>
      </c>
      <c r="D29" s="5" t="s">
        <v>36</v>
      </c>
      <c r="E29" s="6" t="n">
        <v>140</v>
      </c>
      <c r="F29" s="7" t="s">
        <v>37</v>
      </c>
      <c r="G29" s="5" t="s">
        <v>243</v>
      </c>
      <c r="H29" s="5" t="s">
        <v>244</v>
      </c>
      <c r="I29" s="8" t="n">
        <f aca="false">LEN(H29)</f>
        <v>50</v>
      </c>
      <c r="J29" s="5" t="s">
        <v>245</v>
      </c>
      <c r="K29" s="8" t="n">
        <f aca="false">LEN(J29)</f>
        <v>137</v>
      </c>
      <c r="L29" s="5" t="s">
        <v>246</v>
      </c>
      <c r="M29" s="5" t="s">
        <v>247</v>
      </c>
      <c r="N29" s="5"/>
      <c r="O29" s="5" t="s">
        <v>248</v>
      </c>
      <c r="P29" s="9"/>
      <c r="Q29" s="9"/>
    </row>
    <row r="30" customFormat="false" ht="259.5" hidden="false" customHeight="true" outlineLevel="0" collapsed="false">
      <c r="A30" s="5" t="n">
        <v>29</v>
      </c>
      <c r="B30" s="5" t="s">
        <v>249</v>
      </c>
      <c r="C30" s="5" t="s">
        <v>250</v>
      </c>
      <c r="D30" s="5" t="s">
        <v>36</v>
      </c>
      <c r="E30" s="6" t="n">
        <v>100</v>
      </c>
      <c r="F30" s="7" t="s">
        <v>37</v>
      </c>
      <c r="G30" s="5" t="s">
        <v>251</v>
      </c>
      <c r="H30" s="5" t="s">
        <v>252</v>
      </c>
      <c r="I30" s="8" t="n">
        <f aca="false">LEN(H30)</f>
        <v>50</v>
      </c>
      <c r="J30" s="5" t="s">
        <v>253</v>
      </c>
      <c r="K30" s="8" t="n">
        <f aca="false">LEN(J30)</f>
        <v>135</v>
      </c>
      <c r="L30" s="5" t="s">
        <v>254</v>
      </c>
      <c r="M30" s="5" t="s">
        <v>255</v>
      </c>
      <c r="N30" s="5"/>
      <c r="O30" s="5" t="s">
        <v>256</v>
      </c>
      <c r="P30" s="9"/>
      <c r="Q30" s="9"/>
    </row>
    <row r="31" customFormat="false" ht="259.5" hidden="false" customHeight="true" outlineLevel="0" collapsed="false">
      <c r="A31" s="5" t="n">
        <v>30</v>
      </c>
      <c r="B31" s="5" t="s">
        <v>257</v>
      </c>
      <c r="C31" s="5" t="s">
        <v>258</v>
      </c>
      <c r="D31" s="5" t="s">
        <v>36</v>
      </c>
      <c r="E31" s="6" t="n">
        <v>100</v>
      </c>
      <c r="F31" s="7" t="s">
        <v>37</v>
      </c>
      <c r="G31" s="5" t="s">
        <v>259</v>
      </c>
      <c r="H31" s="5" t="s">
        <v>260</v>
      </c>
      <c r="I31" s="8" t="n">
        <f aca="false">LEN(H31)</f>
        <v>50</v>
      </c>
      <c r="J31" s="5" t="s">
        <v>261</v>
      </c>
      <c r="K31" s="8" t="n">
        <f aca="false">LEN(J31)</f>
        <v>134</v>
      </c>
      <c r="L31" s="5" t="s">
        <v>262</v>
      </c>
      <c r="M31" s="5" t="s">
        <v>263</v>
      </c>
      <c r="N31" s="5"/>
      <c r="O31" s="5" t="s">
        <v>113</v>
      </c>
      <c r="P31" s="9"/>
      <c r="Q31" s="9"/>
    </row>
    <row r="32" customFormat="false" ht="259.5" hidden="false" customHeight="true" outlineLevel="0" collapsed="false">
      <c r="A32" s="5" t="n">
        <v>31</v>
      </c>
      <c r="B32" s="5" t="s">
        <v>264</v>
      </c>
      <c r="C32" s="5" t="s">
        <v>265</v>
      </c>
      <c r="D32" s="5" t="s">
        <v>158</v>
      </c>
      <c r="E32" s="6" t="n">
        <v>110</v>
      </c>
      <c r="F32" s="7" t="s">
        <v>37</v>
      </c>
      <c r="G32" s="5" t="s">
        <v>266</v>
      </c>
      <c r="H32" s="5" t="s">
        <v>267</v>
      </c>
      <c r="I32" s="8" t="n">
        <f aca="false">LEN(H32)</f>
        <v>47</v>
      </c>
      <c r="J32" s="5" t="s">
        <v>268</v>
      </c>
      <c r="K32" s="8" t="n">
        <f aca="false">LEN(J32)</f>
        <v>135</v>
      </c>
      <c r="L32" s="5" t="s">
        <v>269</v>
      </c>
      <c r="M32" s="5" t="s">
        <v>270</v>
      </c>
      <c r="N32" s="5"/>
      <c r="O32" s="5" t="s">
        <v>271</v>
      </c>
      <c r="P32" s="9"/>
      <c r="Q32" s="9"/>
    </row>
    <row r="33" customFormat="false" ht="259.5" hidden="false" customHeight="true" outlineLevel="0" collapsed="false">
      <c r="A33" s="5" t="n">
        <v>32</v>
      </c>
      <c r="B33" s="5" t="s">
        <v>272</v>
      </c>
      <c r="C33" s="5" t="s">
        <v>273</v>
      </c>
      <c r="D33" s="5" t="s">
        <v>191</v>
      </c>
      <c r="E33" s="6" t="n">
        <v>200</v>
      </c>
      <c r="F33" s="11" t="s">
        <v>77</v>
      </c>
      <c r="G33" s="5" t="s">
        <v>274</v>
      </c>
      <c r="H33" s="5" t="s">
        <v>275</v>
      </c>
      <c r="I33" s="8" t="n">
        <f aca="false">LEN(H33)</f>
        <v>50</v>
      </c>
      <c r="J33" s="5" t="s">
        <v>276</v>
      </c>
      <c r="K33" s="8" t="n">
        <f aca="false">LEN(J33)</f>
        <v>135</v>
      </c>
      <c r="L33" s="5" t="s">
        <v>277</v>
      </c>
      <c r="M33" s="5" t="s">
        <v>278</v>
      </c>
      <c r="N33" s="5"/>
      <c r="O33" s="5" t="s">
        <v>279</v>
      </c>
      <c r="P33" s="9"/>
      <c r="Q33" s="9"/>
    </row>
    <row r="34" customFormat="false" ht="60" hidden="false" customHeight="true" outlineLevel="0" collapsed="false">
      <c r="A34" s="5" t="n">
        <v>33</v>
      </c>
      <c r="B34" s="5" t="s">
        <v>280</v>
      </c>
      <c r="C34" s="5" t="s">
        <v>281</v>
      </c>
      <c r="D34" s="5" t="s">
        <v>47</v>
      </c>
      <c r="E34" s="6" t="n">
        <v>140</v>
      </c>
      <c r="F34" s="10" t="s">
        <v>48</v>
      </c>
      <c r="G34" s="5" t="s">
        <v>282</v>
      </c>
      <c r="H34" s="5" t="s">
        <v>283</v>
      </c>
      <c r="I34" s="8" t="n">
        <f aca="false">LEN(H34)</f>
        <v>44</v>
      </c>
      <c r="J34" s="5"/>
      <c r="K34" s="8" t="n">
        <f aca="false">LEN(J34)</f>
        <v>0</v>
      </c>
      <c r="L34" s="5" t="s">
        <v>208</v>
      </c>
      <c r="M34" s="5"/>
      <c r="N34" s="5"/>
      <c r="O34" s="5"/>
      <c r="P34" s="9"/>
      <c r="Q34" s="9"/>
    </row>
    <row r="35" customFormat="false" ht="60" hidden="false" customHeight="true" outlineLevel="0" collapsed="false">
      <c r="A35" s="5" t="n">
        <v>34</v>
      </c>
      <c r="B35" s="5" t="s">
        <v>284</v>
      </c>
      <c r="C35" s="5" t="s">
        <v>285</v>
      </c>
      <c r="D35" s="5" t="s">
        <v>47</v>
      </c>
      <c r="E35" s="6" t="n">
        <v>140</v>
      </c>
      <c r="F35" s="10" t="s">
        <v>48</v>
      </c>
      <c r="G35" s="5" t="s">
        <v>282</v>
      </c>
      <c r="H35" s="5" t="s">
        <v>286</v>
      </c>
      <c r="I35" s="8" t="n">
        <f aca="false">LEN(H35)</f>
        <v>51</v>
      </c>
      <c r="J35" s="5"/>
      <c r="K35" s="8" t="n">
        <f aca="false">LEN(J35)</f>
        <v>0</v>
      </c>
      <c r="L35" s="5" t="s">
        <v>208</v>
      </c>
      <c r="M35" s="5"/>
      <c r="N35" s="5"/>
      <c r="O35" s="5"/>
      <c r="P35" s="9"/>
      <c r="Q35" s="9"/>
    </row>
    <row r="36" customFormat="false" ht="259.5" hidden="false" customHeight="true" outlineLevel="0" collapsed="false">
      <c r="A36" s="5" t="n">
        <v>35</v>
      </c>
      <c r="B36" s="5" t="s">
        <v>287</v>
      </c>
      <c r="C36" s="5" t="s">
        <v>288</v>
      </c>
      <c r="D36" s="5" t="s">
        <v>289</v>
      </c>
      <c r="E36" s="6" t="n">
        <v>180</v>
      </c>
      <c r="F36" s="11" t="s">
        <v>77</v>
      </c>
      <c r="G36" s="5"/>
      <c r="H36" s="5" t="s">
        <v>290</v>
      </c>
      <c r="I36" s="8" t="n">
        <f aca="false">LEN(H36)</f>
        <v>53</v>
      </c>
      <c r="J36" s="5" t="s">
        <v>291</v>
      </c>
      <c r="K36" s="8" t="n">
        <f aca="false">LEN(J36)</f>
        <v>135</v>
      </c>
      <c r="L36" s="5" t="s">
        <v>292</v>
      </c>
      <c r="M36" s="5" t="s">
        <v>293</v>
      </c>
      <c r="N36" s="5" t="s">
        <v>294</v>
      </c>
      <c r="O36" s="5" t="s">
        <v>295</v>
      </c>
      <c r="P36" s="9"/>
      <c r="Q36" s="9"/>
    </row>
    <row r="37" customFormat="false" ht="259.5" hidden="false" customHeight="true" outlineLevel="0" collapsed="false">
      <c r="A37" s="5" t="n">
        <v>36</v>
      </c>
      <c r="B37" s="5" t="s">
        <v>296</v>
      </c>
      <c r="C37" s="5" t="s">
        <v>297</v>
      </c>
      <c r="D37" s="5" t="s">
        <v>76</v>
      </c>
      <c r="E37" s="6" t="n">
        <v>180</v>
      </c>
      <c r="F37" s="11" t="s">
        <v>77</v>
      </c>
      <c r="G37" s="5"/>
      <c r="H37" s="5" t="s">
        <v>298</v>
      </c>
      <c r="I37" s="8" t="n">
        <f aca="false">LEN(H37)</f>
        <v>54</v>
      </c>
      <c r="J37" s="5" t="s">
        <v>299</v>
      </c>
      <c r="K37" s="8" t="n">
        <f aca="false">LEN(J37)</f>
        <v>142</v>
      </c>
      <c r="L37" s="5" t="s">
        <v>300</v>
      </c>
      <c r="M37" s="5" t="s">
        <v>301</v>
      </c>
      <c r="N37" s="5" t="s">
        <v>302</v>
      </c>
      <c r="O37" s="5" t="s">
        <v>303</v>
      </c>
      <c r="P37" s="9"/>
      <c r="Q37" s="9"/>
    </row>
    <row r="38" customFormat="false" ht="259.5" hidden="false" customHeight="true" outlineLevel="0" collapsed="false">
      <c r="A38" s="5" t="n">
        <v>37</v>
      </c>
      <c r="B38" s="5" t="s">
        <v>304</v>
      </c>
      <c r="C38" s="5" t="s">
        <v>305</v>
      </c>
      <c r="D38" s="5" t="s">
        <v>76</v>
      </c>
      <c r="E38" s="6" t="n">
        <v>150</v>
      </c>
      <c r="F38" s="11" t="s">
        <v>77</v>
      </c>
      <c r="G38" s="5"/>
      <c r="H38" s="5" t="s">
        <v>306</v>
      </c>
      <c r="I38" s="8" t="n">
        <f aca="false">LEN(H38)</f>
        <v>52</v>
      </c>
      <c r="J38" s="5" t="s">
        <v>307</v>
      </c>
      <c r="K38" s="8" t="n">
        <f aca="false">LEN(J38)</f>
        <v>132</v>
      </c>
      <c r="L38" s="5" t="s">
        <v>308</v>
      </c>
      <c r="M38" s="5" t="s">
        <v>309</v>
      </c>
      <c r="N38" s="5" t="s">
        <v>310</v>
      </c>
      <c r="O38" s="5" t="s">
        <v>311</v>
      </c>
      <c r="P38" s="9"/>
      <c r="Q38" s="9"/>
    </row>
    <row r="39" customFormat="false" ht="259.5" hidden="false" customHeight="true" outlineLevel="0" collapsed="false">
      <c r="A39" s="5" t="n">
        <v>38</v>
      </c>
      <c r="B39" s="5" t="s">
        <v>312</v>
      </c>
      <c r="C39" s="5" t="s">
        <v>313</v>
      </c>
      <c r="D39" s="5" t="s">
        <v>314</v>
      </c>
      <c r="E39" s="6" t="n">
        <v>130</v>
      </c>
      <c r="F39" s="7" t="s">
        <v>37</v>
      </c>
      <c r="G39" s="5" t="s">
        <v>315</v>
      </c>
      <c r="H39" s="5" t="s">
        <v>316</v>
      </c>
      <c r="I39" s="8" t="n">
        <f aca="false">LEN(H39)</f>
        <v>50</v>
      </c>
      <c r="J39" s="5" t="s">
        <v>317</v>
      </c>
      <c r="K39" s="8" t="n">
        <f aca="false">LEN(J39)</f>
        <v>143</v>
      </c>
      <c r="L39" s="5" t="s">
        <v>318</v>
      </c>
      <c r="M39" s="5" t="s">
        <v>319</v>
      </c>
      <c r="N39" s="5" t="s">
        <v>320</v>
      </c>
      <c r="O39" s="5" t="s">
        <v>321</v>
      </c>
      <c r="P39" s="9"/>
      <c r="Q39" s="9"/>
    </row>
    <row r="40" customFormat="false" ht="259.5" hidden="false" customHeight="true" outlineLevel="0" collapsed="false">
      <c r="A40" s="5" t="n">
        <v>39</v>
      </c>
      <c r="B40" s="5" t="s">
        <v>322</v>
      </c>
      <c r="C40" s="5" t="s">
        <v>323</v>
      </c>
      <c r="D40" s="5" t="s">
        <v>324</v>
      </c>
      <c r="E40" s="6" t="n">
        <v>180</v>
      </c>
      <c r="F40" s="7" t="s">
        <v>37</v>
      </c>
      <c r="G40" s="5" t="s">
        <v>325</v>
      </c>
      <c r="H40" s="5" t="s">
        <v>326</v>
      </c>
      <c r="I40" s="8" t="n">
        <f aca="false">LEN(H40)</f>
        <v>54</v>
      </c>
      <c r="J40" s="5" t="s">
        <v>327</v>
      </c>
      <c r="K40" s="8" t="n">
        <f aca="false">LEN(J40)</f>
        <v>141</v>
      </c>
      <c r="L40" s="5" t="s">
        <v>328</v>
      </c>
      <c r="M40" s="5" t="s">
        <v>329</v>
      </c>
      <c r="N40" s="5" t="s">
        <v>330</v>
      </c>
      <c r="O40" s="5" t="s">
        <v>331</v>
      </c>
      <c r="P40" s="9"/>
      <c r="Q40" s="9"/>
    </row>
    <row r="41" customFormat="false" ht="259.5" hidden="false" customHeight="true" outlineLevel="0" collapsed="false">
      <c r="A41" s="5" t="n">
        <v>40</v>
      </c>
      <c r="B41" s="5" t="s">
        <v>332</v>
      </c>
      <c r="C41" s="5" t="s">
        <v>333</v>
      </c>
      <c r="D41" s="5" t="s">
        <v>36</v>
      </c>
      <c r="E41" s="6" t="n">
        <v>180</v>
      </c>
      <c r="F41" s="7" t="s">
        <v>37</v>
      </c>
      <c r="G41" s="5" t="s">
        <v>334</v>
      </c>
      <c r="H41" s="5" t="s">
        <v>335</v>
      </c>
      <c r="I41" s="8" t="n">
        <f aca="false">LEN(H41)</f>
        <v>44</v>
      </c>
      <c r="J41" s="5" t="s">
        <v>336</v>
      </c>
      <c r="K41" s="8" t="n">
        <f aca="false">LEN(J41)</f>
        <v>134</v>
      </c>
      <c r="L41" s="5" t="s">
        <v>337</v>
      </c>
      <c r="M41" s="5" t="s">
        <v>338</v>
      </c>
      <c r="N41" s="5" t="s">
        <v>54</v>
      </c>
      <c r="O41" s="5" t="s">
        <v>339</v>
      </c>
      <c r="P41" s="9"/>
      <c r="Q41" s="9"/>
    </row>
    <row r="42" customFormat="false" ht="259.5" hidden="false" customHeight="true" outlineLevel="0" collapsed="false">
      <c r="A42" s="5" t="n">
        <v>41</v>
      </c>
      <c r="B42" s="5" t="s">
        <v>340</v>
      </c>
      <c r="C42" s="5" t="s">
        <v>341</v>
      </c>
      <c r="D42" s="5" t="s">
        <v>314</v>
      </c>
      <c r="E42" s="6" t="n">
        <v>165</v>
      </c>
      <c r="F42" s="7" t="s">
        <v>37</v>
      </c>
      <c r="G42" s="5" t="s">
        <v>342</v>
      </c>
      <c r="H42" s="5" t="s">
        <v>343</v>
      </c>
      <c r="I42" s="8" t="n">
        <f aca="false">LEN(H42)</f>
        <v>54</v>
      </c>
      <c r="J42" s="5" t="s">
        <v>344</v>
      </c>
      <c r="K42" s="8" t="n">
        <f aca="false">LEN(J42)</f>
        <v>136</v>
      </c>
      <c r="L42" s="5" t="s">
        <v>345</v>
      </c>
      <c r="M42" s="5" t="s">
        <v>346</v>
      </c>
      <c r="N42" s="5"/>
      <c r="O42" s="5" t="s">
        <v>347</v>
      </c>
      <c r="P42" s="9"/>
      <c r="Q42" s="9"/>
    </row>
    <row r="43" customFormat="false" ht="259.5" hidden="false" customHeight="true" outlineLevel="0" collapsed="false">
      <c r="A43" s="5" t="n">
        <v>42</v>
      </c>
      <c r="B43" s="5" t="s">
        <v>348</v>
      </c>
      <c r="C43" s="5" t="s">
        <v>349</v>
      </c>
      <c r="D43" s="5" t="s">
        <v>314</v>
      </c>
      <c r="E43" s="6" t="n">
        <v>65</v>
      </c>
      <c r="F43" s="7" t="s">
        <v>37</v>
      </c>
      <c r="G43" s="5" t="s">
        <v>350</v>
      </c>
      <c r="H43" s="5" t="s">
        <v>351</v>
      </c>
      <c r="I43" s="8" t="n">
        <f aca="false">LEN(H43)</f>
        <v>56</v>
      </c>
      <c r="J43" s="5" t="s">
        <v>352</v>
      </c>
      <c r="K43" s="8" t="n">
        <f aca="false">LEN(J43)</f>
        <v>136</v>
      </c>
      <c r="L43" s="5" t="s">
        <v>353</v>
      </c>
      <c r="M43" s="5" t="s">
        <v>354</v>
      </c>
      <c r="N43" s="5"/>
      <c r="O43" s="5" t="s">
        <v>355</v>
      </c>
      <c r="P43" s="9"/>
      <c r="Q43" s="9"/>
    </row>
    <row r="44" customFormat="false" ht="259.5" hidden="false" customHeight="true" outlineLevel="0" collapsed="false">
      <c r="A44" s="5" t="n">
        <v>43</v>
      </c>
      <c r="B44" s="5" t="s">
        <v>356</v>
      </c>
      <c r="C44" s="5" t="s">
        <v>357</v>
      </c>
      <c r="D44" s="5" t="s">
        <v>314</v>
      </c>
      <c r="E44" s="6" t="n">
        <v>200</v>
      </c>
      <c r="F44" s="7" t="s">
        <v>37</v>
      </c>
      <c r="G44" s="5" t="s">
        <v>358</v>
      </c>
      <c r="H44" s="5" t="s">
        <v>359</v>
      </c>
      <c r="I44" s="8" t="n">
        <f aca="false">LEN(H44)</f>
        <v>44</v>
      </c>
      <c r="J44" s="5" t="s">
        <v>360</v>
      </c>
      <c r="K44" s="8" t="n">
        <f aca="false">LEN(J44)</f>
        <v>140</v>
      </c>
      <c r="L44" s="5" t="s">
        <v>361</v>
      </c>
      <c r="M44" s="5" t="s">
        <v>362</v>
      </c>
      <c r="N44" s="5" t="s">
        <v>363</v>
      </c>
      <c r="O44" s="5" t="s">
        <v>364</v>
      </c>
      <c r="P44" s="9"/>
      <c r="Q44" s="9"/>
    </row>
    <row r="45" customFormat="false" ht="60" hidden="false" customHeight="true" outlineLevel="0" collapsed="false">
      <c r="A45" s="5" t="n">
        <v>44</v>
      </c>
      <c r="B45" s="5" t="s">
        <v>365</v>
      </c>
      <c r="C45" s="5" t="s">
        <v>366</v>
      </c>
      <c r="D45" s="5" t="s">
        <v>47</v>
      </c>
      <c r="E45" s="6" t="n">
        <v>120</v>
      </c>
      <c r="F45" s="10" t="s">
        <v>48</v>
      </c>
      <c r="G45" s="5" t="s">
        <v>367</v>
      </c>
      <c r="H45" s="5" t="s">
        <v>368</v>
      </c>
      <c r="I45" s="8" t="n">
        <f aca="false">LEN(H45)</f>
        <v>50</v>
      </c>
      <c r="J45" s="5"/>
      <c r="K45" s="8" t="n">
        <f aca="false">LEN(J45)</f>
        <v>0</v>
      </c>
      <c r="L45" s="5" t="s">
        <v>208</v>
      </c>
      <c r="M45" s="5"/>
      <c r="N45" s="5"/>
      <c r="O45" s="5"/>
      <c r="P45" s="9"/>
      <c r="Q45" s="9"/>
    </row>
    <row r="46" customFormat="false" ht="60" hidden="false" customHeight="true" outlineLevel="0" collapsed="false">
      <c r="A46" s="5" t="n">
        <v>45</v>
      </c>
      <c r="B46" s="5" t="s">
        <v>369</v>
      </c>
      <c r="C46" s="5" t="s">
        <v>370</v>
      </c>
      <c r="D46" s="5" t="s">
        <v>47</v>
      </c>
      <c r="E46" s="6" t="n">
        <v>160</v>
      </c>
      <c r="F46" s="10" t="s">
        <v>48</v>
      </c>
      <c r="G46" s="5" t="s">
        <v>367</v>
      </c>
      <c r="H46" s="5" t="s">
        <v>371</v>
      </c>
      <c r="I46" s="8" t="n">
        <f aca="false">LEN(H46)</f>
        <v>45</v>
      </c>
      <c r="J46" s="5"/>
      <c r="K46" s="8" t="n">
        <f aca="false">LEN(J46)</f>
        <v>0</v>
      </c>
      <c r="L46" s="5" t="s">
        <v>208</v>
      </c>
      <c r="M46" s="5"/>
      <c r="N46" s="5"/>
      <c r="O46" s="5"/>
      <c r="P46" s="9"/>
      <c r="Q46" s="9"/>
    </row>
    <row r="47" customFormat="false" ht="60" hidden="false" customHeight="true" outlineLevel="0" collapsed="false">
      <c r="A47" s="5" t="n">
        <v>46</v>
      </c>
      <c r="B47" s="5" t="s">
        <v>372</v>
      </c>
      <c r="C47" s="5" t="s">
        <v>373</v>
      </c>
      <c r="D47" s="5" t="s">
        <v>47</v>
      </c>
      <c r="E47" s="6" t="n">
        <v>90</v>
      </c>
      <c r="F47" s="10" t="s">
        <v>48</v>
      </c>
      <c r="G47" s="5" t="s">
        <v>367</v>
      </c>
      <c r="H47" s="5" t="s">
        <v>374</v>
      </c>
      <c r="I47" s="8" t="n">
        <f aca="false">LEN(H47)</f>
        <v>52</v>
      </c>
      <c r="J47" s="5"/>
      <c r="K47" s="8" t="n">
        <f aca="false">LEN(J47)</f>
        <v>0</v>
      </c>
      <c r="L47" s="5" t="s">
        <v>208</v>
      </c>
      <c r="M47" s="5"/>
      <c r="N47" s="5"/>
      <c r="O47" s="5"/>
      <c r="P47" s="9"/>
      <c r="Q47" s="9"/>
    </row>
    <row r="48" customFormat="false" ht="60" hidden="false" customHeight="true" outlineLevel="0" collapsed="false">
      <c r="A48" s="5" t="n">
        <v>47</v>
      </c>
      <c r="B48" s="5" t="s">
        <v>375</v>
      </c>
      <c r="C48" s="5" t="s">
        <v>376</v>
      </c>
      <c r="D48" s="5" t="s">
        <v>47</v>
      </c>
      <c r="E48" s="6" t="n">
        <v>50</v>
      </c>
      <c r="F48" s="10" t="s">
        <v>48</v>
      </c>
      <c r="G48" s="5" t="s">
        <v>367</v>
      </c>
      <c r="H48" s="5" t="s">
        <v>377</v>
      </c>
      <c r="I48" s="8" t="n">
        <f aca="false">LEN(H48)</f>
        <v>45</v>
      </c>
      <c r="J48" s="5"/>
      <c r="K48" s="8" t="n">
        <f aca="false">LEN(J48)</f>
        <v>0</v>
      </c>
      <c r="L48" s="5" t="s">
        <v>208</v>
      </c>
      <c r="M48" s="5"/>
      <c r="N48" s="5"/>
      <c r="O48" s="5"/>
      <c r="P48" s="9"/>
      <c r="Q48" s="9"/>
    </row>
    <row r="49" customFormat="false" ht="259.5" hidden="false" customHeight="true" outlineLevel="0" collapsed="false">
      <c r="A49" s="5" t="n">
        <v>48</v>
      </c>
      <c r="B49" s="5" t="s">
        <v>378</v>
      </c>
      <c r="C49" s="5" t="s">
        <v>379</v>
      </c>
      <c r="D49" s="5" t="s">
        <v>76</v>
      </c>
      <c r="E49" s="6" t="n">
        <v>50</v>
      </c>
      <c r="F49" s="7" t="s">
        <v>37</v>
      </c>
      <c r="G49" s="5" t="s">
        <v>380</v>
      </c>
      <c r="H49" s="5" t="s">
        <v>381</v>
      </c>
      <c r="I49" s="8" t="n">
        <f aca="false">LEN(H49)</f>
        <v>60</v>
      </c>
      <c r="J49" s="5" t="s">
        <v>382</v>
      </c>
      <c r="K49" s="8" t="n">
        <f aca="false">LEN(J49)</f>
        <v>131</v>
      </c>
      <c r="L49" s="5" t="s">
        <v>383</v>
      </c>
      <c r="M49" s="5" t="s">
        <v>384</v>
      </c>
      <c r="N49" s="5"/>
      <c r="O49" s="5" t="s">
        <v>385</v>
      </c>
      <c r="P49" s="9"/>
      <c r="Q49" s="9"/>
    </row>
    <row r="50" customFormat="false" ht="259.5" hidden="false" customHeight="true" outlineLevel="0" collapsed="false">
      <c r="A50" s="5" t="n">
        <v>49</v>
      </c>
      <c r="B50" s="5" t="s">
        <v>386</v>
      </c>
      <c r="C50" s="5" t="s">
        <v>387</v>
      </c>
      <c r="D50" s="5" t="s">
        <v>76</v>
      </c>
      <c r="E50" s="6" t="n">
        <v>60</v>
      </c>
      <c r="F50" s="7" t="s">
        <v>37</v>
      </c>
      <c r="G50" s="5" t="s">
        <v>388</v>
      </c>
      <c r="H50" s="5" t="s">
        <v>389</v>
      </c>
      <c r="I50" s="8" t="n">
        <f aca="false">LEN(H50)</f>
        <v>59</v>
      </c>
      <c r="J50" s="5" t="s">
        <v>390</v>
      </c>
      <c r="K50" s="8" t="n">
        <f aca="false">LEN(J50)</f>
        <v>132</v>
      </c>
      <c r="L50" s="5" t="s">
        <v>391</v>
      </c>
      <c r="M50" s="5" t="s">
        <v>392</v>
      </c>
      <c r="N50" s="5"/>
      <c r="O50" s="5" t="s">
        <v>393</v>
      </c>
      <c r="P50" s="9"/>
      <c r="Q50" s="9"/>
    </row>
    <row r="51" customFormat="false" ht="60" hidden="false" customHeight="true" outlineLevel="0" collapsed="false">
      <c r="A51" s="5" t="n">
        <v>50</v>
      </c>
      <c r="B51" s="5" t="s">
        <v>394</v>
      </c>
      <c r="C51" s="5" t="s">
        <v>395</v>
      </c>
      <c r="D51" s="5" t="s">
        <v>76</v>
      </c>
      <c r="E51" s="6" t="n">
        <v>50</v>
      </c>
      <c r="F51" s="10" t="s">
        <v>48</v>
      </c>
      <c r="G51" s="5" t="s">
        <v>396</v>
      </c>
      <c r="H51" s="5" t="s">
        <v>397</v>
      </c>
      <c r="I51" s="8" t="n">
        <f aca="false">LEN(H51)</f>
        <v>51</v>
      </c>
      <c r="J51" s="5"/>
      <c r="K51" s="8" t="n">
        <f aca="false">LEN(J51)</f>
        <v>0</v>
      </c>
      <c r="L51" s="5" t="s">
        <v>398</v>
      </c>
      <c r="M51" s="5"/>
      <c r="N51" s="5"/>
      <c r="O51" s="5"/>
      <c r="P51" s="9"/>
      <c r="Q51" s="9"/>
    </row>
    <row r="52" customFormat="false" ht="259.5" hidden="false" customHeight="true" outlineLevel="0" collapsed="false">
      <c r="A52" s="5" t="n">
        <v>51</v>
      </c>
      <c r="B52" s="5" t="s">
        <v>399</v>
      </c>
      <c r="C52" s="5" t="s">
        <v>400</v>
      </c>
      <c r="D52" s="5" t="s">
        <v>401</v>
      </c>
      <c r="E52" s="6" t="n">
        <v>50</v>
      </c>
      <c r="F52" s="7" t="s">
        <v>37</v>
      </c>
      <c r="G52" s="5" t="s">
        <v>402</v>
      </c>
      <c r="H52" s="5" t="s">
        <v>403</v>
      </c>
      <c r="I52" s="8" t="n">
        <f aca="false">LEN(H52)</f>
        <v>53</v>
      </c>
      <c r="J52" s="5" t="s">
        <v>404</v>
      </c>
      <c r="K52" s="8" t="n">
        <f aca="false">LEN(J52)</f>
        <v>140</v>
      </c>
      <c r="L52" s="5" t="s">
        <v>405</v>
      </c>
      <c r="M52" s="5" t="s">
        <v>406</v>
      </c>
      <c r="N52" s="5"/>
      <c r="O52" s="5" t="s">
        <v>407</v>
      </c>
      <c r="P52" s="9"/>
      <c r="Q52" s="9"/>
    </row>
    <row r="53" customFormat="false" ht="259.5" hidden="false" customHeight="true" outlineLevel="0" collapsed="false">
      <c r="A53" s="5" t="n">
        <v>52</v>
      </c>
      <c r="B53" s="5" t="s">
        <v>408</v>
      </c>
      <c r="C53" s="5" t="s">
        <v>409</v>
      </c>
      <c r="D53" s="5" t="s">
        <v>36</v>
      </c>
      <c r="E53" s="6" t="n">
        <v>80</v>
      </c>
      <c r="F53" s="11" t="s">
        <v>77</v>
      </c>
      <c r="G53" s="5" t="s">
        <v>410</v>
      </c>
      <c r="H53" s="5" t="s">
        <v>411</v>
      </c>
      <c r="I53" s="8" t="n">
        <f aca="false">LEN(H53)</f>
        <v>57</v>
      </c>
      <c r="J53" s="5" t="s">
        <v>412</v>
      </c>
      <c r="K53" s="8" t="n">
        <f aca="false">LEN(J53)</f>
        <v>126</v>
      </c>
      <c r="L53" s="5" t="s">
        <v>413</v>
      </c>
      <c r="M53" s="5" t="s">
        <v>414</v>
      </c>
      <c r="N53" s="5"/>
      <c r="O53" s="5" t="s">
        <v>415</v>
      </c>
      <c r="P53" s="9"/>
      <c r="Q53" s="9"/>
    </row>
    <row r="54" customFormat="false" ht="259.5" hidden="false" customHeight="true" outlineLevel="0" collapsed="false">
      <c r="A54" s="5" t="n">
        <v>53</v>
      </c>
      <c r="B54" s="5" t="s">
        <v>416</v>
      </c>
      <c r="C54" s="5" t="s">
        <v>417</v>
      </c>
      <c r="D54" s="5" t="s">
        <v>36</v>
      </c>
      <c r="E54" s="6" t="n">
        <v>80</v>
      </c>
      <c r="F54" s="11" t="s">
        <v>77</v>
      </c>
      <c r="G54" s="5" t="s">
        <v>418</v>
      </c>
      <c r="H54" s="5" t="s">
        <v>419</v>
      </c>
      <c r="I54" s="8" t="n">
        <f aca="false">LEN(H54)</f>
        <v>57</v>
      </c>
      <c r="J54" s="5" t="s">
        <v>420</v>
      </c>
      <c r="K54" s="8" t="n">
        <f aca="false">LEN(J54)</f>
        <v>115</v>
      </c>
      <c r="L54" s="5" t="s">
        <v>421</v>
      </c>
      <c r="M54" s="5" t="s">
        <v>422</v>
      </c>
      <c r="N54" s="5"/>
      <c r="O54" s="5" t="s">
        <v>423</v>
      </c>
      <c r="P54" s="9"/>
      <c r="Q54" s="9"/>
    </row>
    <row r="55" customFormat="false" ht="259.5" hidden="false" customHeight="true" outlineLevel="0" collapsed="false">
      <c r="A55" s="5" t="n">
        <v>54</v>
      </c>
      <c r="B55" s="5" t="s">
        <v>424</v>
      </c>
      <c r="C55" s="5" t="s">
        <v>425</v>
      </c>
      <c r="D55" s="5" t="s">
        <v>36</v>
      </c>
      <c r="E55" s="6" t="n">
        <v>30</v>
      </c>
      <c r="F55" s="11" t="s">
        <v>77</v>
      </c>
      <c r="G55" s="5" t="s">
        <v>426</v>
      </c>
      <c r="H55" s="5" t="s">
        <v>427</v>
      </c>
      <c r="I55" s="8" t="n">
        <f aca="false">LEN(H55)</f>
        <v>46</v>
      </c>
      <c r="J55" s="5" t="s">
        <v>428</v>
      </c>
      <c r="K55" s="8" t="n">
        <f aca="false">LEN(J55)</f>
        <v>134</v>
      </c>
      <c r="L55" s="5" t="s">
        <v>429</v>
      </c>
      <c r="M55" s="5"/>
      <c r="N55" s="5"/>
      <c r="O55" s="5" t="s">
        <v>224</v>
      </c>
      <c r="P55" s="9"/>
      <c r="Q55" s="9"/>
    </row>
    <row r="57" customFormat="false" ht="15" hidden="false" customHeight="false" outlineLevel="0" collapsed="false">
      <c r="B57" s="12" t="s">
        <v>430</v>
      </c>
    </row>
    <row r="58" customFormat="false" ht="15" hidden="false" customHeight="false" outlineLevel="0" collapsed="false">
      <c r="B58" s="13" t="s">
        <v>77</v>
      </c>
      <c r="C58" s="13" t="n">
        <f aca="false">COUNTIF($F$2:$F$55,B58)</f>
        <v>17</v>
      </c>
    </row>
    <row r="59" customFormat="false" ht="15" hidden="false" customHeight="false" outlineLevel="0" collapsed="false">
      <c r="B59" s="13" t="s">
        <v>37</v>
      </c>
      <c r="C59" s="13" t="n">
        <f aca="false">COUNTIF($F$2:$F$55,B59)</f>
        <v>23</v>
      </c>
    </row>
    <row r="60" customFormat="false" ht="15" hidden="false" customHeight="false" outlineLevel="0" collapsed="false">
      <c r="B60" s="13" t="s">
        <v>48</v>
      </c>
      <c r="C60" s="13" t="n">
        <f aca="false">COUNTIF($F$2:$F$55,B60)</f>
        <v>14</v>
      </c>
    </row>
    <row r="61" customFormat="false" ht="15" hidden="false" customHeight="false" outlineLevel="0" collapsed="false">
      <c r="B61" s="12" t="s">
        <v>431</v>
      </c>
      <c r="C61" s="12" t="n">
        <f aca="false">SUM(C58:C60)</f>
        <v>54</v>
      </c>
    </row>
    <row r="62" customFormat="false" ht="15" hidden="false" customHeight="false" outlineLevel="0" collapsed="false">
      <c r="B62" s="13" t="s">
        <v>432</v>
      </c>
      <c r="C62" s="13" t="n">
        <f aca="false">COUNTIF($P$2:$P$55,"Approve")</f>
        <v>0</v>
      </c>
    </row>
  </sheetData>
  <autoFilter ref="A1:Q55"/>
  <conditionalFormatting sqref="I2:I55">
    <cfRule type="expression" priority="2" aboveAverage="0" equalAverage="0" bottom="0" percent="0" rank="0" text="" dxfId="7">
      <formula>I2&gt;60</formula>
    </cfRule>
  </conditionalFormatting>
  <conditionalFormatting sqref="K2:K55">
    <cfRule type="expression" priority="3" aboveAverage="0" equalAverage="0" bottom="0" percent="0" rank="0" text="" dxfId="7">
      <formula>K2&gt;155</formula>
    </cfRule>
  </conditionalFormatting>
  <dataValidations count="1">
    <dataValidation allowBlank="true" errorStyle="stop" operator="between" showDropDown="false" showErrorMessage="false" showInputMessage="false" sqref="P2:P55" type="list">
      <formula1>"Approve,Edit,Hold"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8"/>
    <col collapsed="false" customWidth="true" hidden="false" outlineLevel="0" max="7" min="7" style="0" width="55"/>
    <col collapsed="false" customWidth="true" hidden="false" outlineLevel="0" max="8" min="8" style="0" width="10"/>
    <col collapsed="false" customWidth="true" hidden="false" outlineLevel="0" max="9" min="9" style="0" width="40"/>
  </cols>
  <sheetData>
    <row r="1" customFormat="false" ht="15" hidden="false" customHeight="false" outlineLevel="0" collapsed="false">
      <c r="A1" s="4" t="s">
        <v>433</v>
      </c>
      <c r="B1" s="4" t="s">
        <v>434</v>
      </c>
      <c r="C1" s="4" t="s">
        <v>435</v>
      </c>
      <c r="D1" s="4" t="s">
        <v>436</v>
      </c>
      <c r="E1" s="4" t="s">
        <v>437</v>
      </c>
      <c r="F1" s="4" t="s">
        <v>438</v>
      </c>
      <c r="G1" s="4" t="s">
        <v>439</v>
      </c>
      <c r="H1" s="4" t="s">
        <v>440</v>
      </c>
      <c r="I1" s="4" t="s">
        <v>441</v>
      </c>
    </row>
    <row r="2" customFormat="false" ht="23.85" hidden="false" customHeight="false" outlineLevel="0" collapsed="false">
      <c r="A2" s="5" t="s">
        <v>288</v>
      </c>
      <c r="B2" s="5" t="s">
        <v>442</v>
      </c>
      <c r="C2" s="5" t="s">
        <v>443</v>
      </c>
      <c r="D2" s="5" t="s">
        <v>444</v>
      </c>
      <c r="E2" s="5" t="s">
        <v>445</v>
      </c>
      <c r="F2" s="5" t="s">
        <v>446</v>
      </c>
      <c r="G2" s="5" t="s">
        <v>447</v>
      </c>
      <c r="H2" s="5" t="s">
        <v>448</v>
      </c>
      <c r="I2" s="5" t="s">
        <v>449</v>
      </c>
    </row>
    <row r="3" customFormat="false" ht="23.85" hidden="false" customHeight="false" outlineLevel="0" collapsed="false">
      <c r="A3" s="5" t="s">
        <v>450</v>
      </c>
      <c r="B3" s="5" t="s">
        <v>442</v>
      </c>
      <c r="C3" s="5" t="s">
        <v>451</v>
      </c>
      <c r="D3" s="5" t="s">
        <v>452</v>
      </c>
      <c r="E3" s="5" t="s">
        <v>453</v>
      </c>
      <c r="F3" s="5" t="s">
        <v>454</v>
      </c>
      <c r="G3" s="5" t="s">
        <v>455</v>
      </c>
      <c r="H3" s="5" t="s">
        <v>448</v>
      </c>
      <c r="I3" s="5" t="s">
        <v>456</v>
      </c>
    </row>
    <row r="4" customFormat="false" ht="15" hidden="false" customHeight="false" outlineLevel="0" collapsed="false">
      <c r="A4" s="5" t="s">
        <v>457</v>
      </c>
      <c r="B4" s="5" t="s">
        <v>458</v>
      </c>
      <c r="C4" s="5" t="s">
        <v>451</v>
      </c>
      <c r="D4" s="5" t="s">
        <v>452</v>
      </c>
      <c r="E4" s="5" t="s">
        <v>453</v>
      </c>
      <c r="F4" s="5" t="s">
        <v>454</v>
      </c>
      <c r="G4" s="5" t="s">
        <v>459</v>
      </c>
      <c r="H4" s="5" t="s">
        <v>460</v>
      </c>
      <c r="I4" s="5" t="s">
        <v>456</v>
      </c>
    </row>
    <row r="5" customFormat="false" ht="15" hidden="false" customHeight="false" outlineLevel="0" collapsed="false">
      <c r="A5" s="5" t="s">
        <v>313</v>
      </c>
      <c r="B5" s="5" t="s">
        <v>461</v>
      </c>
      <c r="C5" s="5" t="s">
        <v>461</v>
      </c>
      <c r="D5" s="5" t="s">
        <v>461</v>
      </c>
      <c r="E5" s="5" t="s">
        <v>461</v>
      </c>
      <c r="F5" s="5" t="s">
        <v>461</v>
      </c>
      <c r="G5" s="5" t="s">
        <v>462</v>
      </c>
      <c r="H5" s="5" t="s">
        <v>463</v>
      </c>
      <c r="I5" s="5" t="s">
        <v>464</v>
      </c>
    </row>
    <row r="6" customFormat="false" ht="15" hidden="false" customHeight="false" outlineLevel="0" collapsed="false">
      <c r="A6" s="5" t="s">
        <v>323</v>
      </c>
      <c r="B6" s="5" t="s">
        <v>458</v>
      </c>
      <c r="C6" s="5" t="s">
        <v>461</v>
      </c>
      <c r="D6" s="5" t="s">
        <v>461</v>
      </c>
      <c r="E6" s="5" t="s">
        <v>461</v>
      </c>
      <c r="F6" s="5" t="s">
        <v>461</v>
      </c>
      <c r="G6" s="5" t="s">
        <v>465</v>
      </c>
      <c r="H6" s="5" t="s">
        <v>466</v>
      </c>
      <c r="I6" s="5" t="s">
        <v>467</v>
      </c>
    </row>
    <row r="7" customFormat="false" ht="15" hidden="false" customHeight="false" outlineLevel="0" collapsed="false">
      <c r="A7" s="5" t="s">
        <v>333</v>
      </c>
      <c r="B7" s="5" t="s">
        <v>468</v>
      </c>
      <c r="C7" s="5" t="s">
        <v>468</v>
      </c>
      <c r="D7" s="5" t="s">
        <v>468</v>
      </c>
      <c r="E7" s="5" t="s">
        <v>468</v>
      </c>
      <c r="F7" s="5" t="s">
        <v>468</v>
      </c>
      <c r="G7" s="5" t="s">
        <v>54</v>
      </c>
      <c r="H7" s="5" t="s">
        <v>469</v>
      </c>
      <c r="I7" s="5" t="s">
        <v>470</v>
      </c>
    </row>
    <row r="8" customFormat="false" ht="15" hidden="false" customHeight="false" outlineLevel="0" collapsed="false">
      <c r="A8" s="14"/>
    </row>
    <row r="9" customFormat="false" ht="113.4" hidden="false" customHeight="false" outlineLevel="0" collapsed="false">
      <c r="A9" s="14" t="s">
        <v>471</v>
      </c>
    </row>
    <row r="10" customFormat="false" ht="147" hidden="false" customHeight="false" outlineLevel="0" collapsed="false">
      <c r="A10" s="14" t="s">
        <v>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5"/>
    <col collapsed="false" customWidth="true" hidden="false" outlineLevel="0" max="3" min="3" style="0" width="90"/>
    <col collapsed="false" customWidth="true" hidden="false" outlineLevel="0" max="4" min="4" style="0" width="45"/>
  </cols>
  <sheetData>
    <row r="1" customFormat="false" ht="15" hidden="false" customHeight="false" outlineLevel="0" collapsed="false">
      <c r="A1" s="15" t="s">
        <v>18</v>
      </c>
      <c r="B1" s="15" t="s">
        <v>433</v>
      </c>
      <c r="C1" s="15" t="s">
        <v>473</v>
      </c>
      <c r="D1" s="15" t="s">
        <v>474</v>
      </c>
    </row>
    <row r="2" customFormat="false" ht="23.85" hidden="false" customHeight="false" outlineLevel="0" collapsed="false">
      <c r="A2" s="14" t="n">
        <v>1</v>
      </c>
      <c r="B2" s="14" t="s">
        <v>35</v>
      </c>
      <c r="C2" s="14" t="s">
        <v>38</v>
      </c>
      <c r="D2" s="16"/>
    </row>
    <row r="3" customFormat="false" ht="35.05" hidden="false" customHeight="false" outlineLevel="0" collapsed="false">
      <c r="A3" s="14" t="n">
        <v>2</v>
      </c>
      <c r="B3" s="14" t="s">
        <v>46</v>
      </c>
      <c r="C3" s="14" t="s">
        <v>49</v>
      </c>
      <c r="D3" s="16"/>
    </row>
    <row r="4" customFormat="false" ht="35.05" hidden="false" customHeight="false" outlineLevel="0" collapsed="false">
      <c r="A4" s="14" t="n">
        <v>3</v>
      </c>
      <c r="B4" s="14" t="s">
        <v>57</v>
      </c>
      <c r="C4" s="14" t="s">
        <v>49</v>
      </c>
      <c r="D4" s="16"/>
    </row>
    <row r="5" customFormat="false" ht="35.05" hidden="false" customHeight="false" outlineLevel="0" collapsed="false">
      <c r="A5" s="14" t="n">
        <v>4</v>
      </c>
      <c r="B5" s="14" t="s">
        <v>63</v>
      </c>
      <c r="C5" s="14" t="s">
        <v>49</v>
      </c>
      <c r="D5" s="16"/>
    </row>
    <row r="6" customFormat="false" ht="35.05" hidden="false" customHeight="false" outlineLevel="0" collapsed="false">
      <c r="A6" s="14" t="n">
        <v>5</v>
      </c>
      <c r="B6" s="14" t="s">
        <v>69</v>
      </c>
      <c r="C6" s="14" t="s">
        <v>49</v>
      </c>
      <c r="D6" s="16"/>
    </row>
    <row r="7" customFormat="false" ht="35.05" hidden="false" customHeight="false" outlineLevel="0" collapsed="false">
      <c r="A7" s="14" t="n">
        <v>6</v>
      </c>
      <c r="B7" s="14" t="s">
        <v>85</v>
      </c>
      <c r="C7" s="14" t="s">
        <v>86</v>
      </c>
      <c r="D7" s="16"/>
    </row>
    <row r="8" customFormat="false" ht="23.85" hidden="false" customHeight="false" outlineLevel="0" collapsed="false">
      <c r="A8" s="14" t="n">
        <v>7</v>
      </c>
      <c r="B8" s="14" t="s">
        <v>91</v>
      </c>
      <c r="C8" s="14" t="s">
        <v>92</v>
      </c>
      <c r="D8" s="16"/>
    </row>
    <row r="9" customFormat="false" ht="23.85" hidden="false" customHeight="false" outlineLevel="0" collapsed="false">
      <c r="A9" s="14" t="n">
        <v>8</v>
      </c>
      <c r="B9" s="14" t="s">
        <v>99</v>
      </c>
      <c r="C9" s="14" t="s">
        <v>100</v>
      </c>
      <c r="D9" s="16"/>
    </row>
    <row r="10" customFormat="false" ht="15" hidden="false" customHeight="false" outlineLevel="0" collapsed="false">
      <c r="A10" s="14" t="n">
        <v>9</v>
      </c>
      <c r="B10" s="14" t="s">
        <v>107</v>
      </c>
      <c r="C10" s="14" t="s">
        <v>108</v>
      </c>
      <c r="D10" s="16"/>
    </row>
    <row r="11" customFormat="false" ht="15" hidden="false" customHeight="false" outlineLevel="0" collapsed="false">
      <c r="A11" s="14" t="n">
        <v>10</v>
      </c>
      <c r="B11" s="14" t="s">
        <v>115</v>
      </c>
      <c r="C11" s="14" t="s">
        <v>108</v>
      </c>
      <c r="D11" s="16"/>
    </row>
    <row r="12" customFormat="false" ht="15" hidden="false" customHeight="false" outlineLevel="0" collapsed="false">
      <c r="A12" s="14" t="n">
        <v>11</v>
      </c>
      <c r="B12" s="14" t="s">
        <v>122</v>
      </c>
      <c r="C12" s="14" t="s">
        <v>108</v>
      </c>
      <c r="D12" s="16"/>
    </row>
    <row r="13" customFormat="false" ht="15" hidden="false" customHeight="false" outlineLevel="0" collapsed="false">
      <c r="A13" s="14" t="n">
        <v>12</v>
      </c>
      <c r="B13" s="14" t="s">
        <v>129</v>
      </c>
      <c r="C13" s="14" t="s">
        <v>108</v>
      </c>
      <c r="D13" s="16"/>
    </row>
    <row r="14" customFormat="false" ht="15" hidden="false" customHeight="false" outlineLevel="0" collapsed="false">
      <c r="A14" s="14" t="n">
        <v>13</v>
      </c>
      <c r="B14" s="14" t="s">
        <v>136</v>
      </c>
      <c r="C14" s="14" t="s">
        <v>108</v>
      </c>
      <c r="D14" s="16"/>
    </row>
    <row r="15" customFormat="false" ht="35.05" hidden="false" customHeight="false" outlineLevel="0" collapsed="false">
      <c r="A15" s="14" t="n">
        <v>14</v>
      </c>
      <c r="B15" s="14" t="s">
        <v>143</v>
      </c>
      <c r="C15" s="14" t="s">
        <v>144</v>
      </c>
      <c r="D15" s="16"/>
    </row>
    <row r="16" customFormat="false" ht="15" hidden="false" customHeight="false" outlineLevel="0" collapsed="false">
      <c r="A16" s="14" t="n">
        <v>15</v>
      </c>
      <c r="B16" s="14" t="s">
        <v>157</v>
      </c>
      <c r="C16" s="14" t="s">
        <v>159</v>
      </c>
      <c r="D16" s="16"/>
    </row>
    <row r="17" customFormat="false" ht="23.85" hidden="false" customHeight="false" outlineLevel="0" collapsed="false">
      <c r="A17" s="14" t="n">
        <v>16</v>
      </c>
      <c r="B17" s="14" t="s">
        <v>166</v>
      </c>
      <c r="C17" s="14" t="s">
        <v>167</v>
      </c>
      <c r="D17" s="16"/>
    </row>
    <row r="18" customFormat="false" ht="15" hidden="false" customHeight="false" outlineLevel="0" collapsed="false">
      <c r="A18" s="14" t="n">
        <v>17</v>
      </c>
      <c r="B18" s="14" t="s">
        <v>174</v>
      </c>
      <c r="C18" s="14" t="s">
        <v>175</v>
      </c>
      <c r="D18" s="16"/>
    </row>
    <row r="19" customFormat="false" ht="15" hidden="false" customHeight="false" outlineLevel="0" collapsed="false">
      <c r="A19" s="14" t="n">
        <v>18</v>
      </c>
      <c r="B19" s="14" t="s">
        <v>182</v>
      </c>
      <c r="C19" s="14" t="s">
        <v>183</v>
      </c>
      <c r="D19" s="16"/>
    </row>
    <row r="20" customFormat="false" ht="23.85" hidden="false" customHeight="false" outlineLevel="0" collapsed="false">
      <c r="A20" s="14" t="n">
        <v>19</v>
      </c>
      <c r="B20" s="14" t="s">
        <v>190</v>
      </c>
      <c r="C20" s="14" t="s">
        <v>192</v>
      </c>
      <c r="D20" s="16"/>
    </row>
    <row r="21" customFormat="false" ht="15" hidden="false" customHeight="false" outlineLevel="0" collapsed="false">
      <c r="A21" s="14" t="n">
        <v>20</v>
      </c>
      <c r="B21" s="14" t="s">
        <v>197</v>
      </c>
      <c r="C21" s="14" t="s">
        <v>198</v>
      </c>
      <c r="D21" s="16"/>
    </row>
    <row r="22" customFormat="false" ht="23.85" hidden="false" customHeight="false" outlineLevel="0" collapsed="false">
      <c r="A22" s="14" t="n">
        <v>21</v>
      </c>
      <c r="B22" s="14" t="s">
        <v>205</v>
      </c>
      <c r="C22" s="14" t="s">
        <v>206</v>
      </c>
      <c r="D22" s="16"/>
    </row>
    <row r="23" customFormat="false" ht="23.85" hidden="false" customHeight="false" outlineLevel="0" collapsed="false">
      <c r="A23" s="14" t="n">
        <v>22</v>
      </c>
      <c r="B23" s="14" t="s">
        <v>210</v>
      </c>
      <c r="C23" s="14" t="s">
        <v>211</v>
      </c>
      <c r="D23" s="16"/>
    </row>
    <row r="24" customFormat="false" ht="23.85" hidden="false" customHeight="false" outlineLevel="0" collapsed="false">
      <c r="A24" s="14" t="n">
        <v>23</v>
      </c>
      <c r="B24" s="14" t="s">
        <v>218</v>
      </c>
      <c r="C24" s="14" t="s">
        <v>219</v>
      </c>
      <c r="D24" s="16"/>
    </row>
    <row r="25" customFormat="false" ht="23.85" hidden="false" customHeight="false" outlineLevel="0" collapsed="false">
      <c r="A25" s="14" t="n">
        <v>24</v>
      </c>
      <c r="B25" s="14" t="s">
        <v>226</v>
      </c>
      <c r="C25" s="14" t="s">
        <v>227</v>
      </c>
      <c r="D25" s="16"/>
    </row>
    <row r="26" customFormat="false" ht="23.85" hidden="false" customHeight="false" outlineLevel="0" collapsed="false">
      <c r="A26" s="14" t="n">
        <v>25</v>
      </c>
      <c r="B26" s="14" t="s">
        <v>234</v>
      </c>
      <c r="C26" s="14" t="s">
        <v>235</v>
      </c>
      <c r="D26" s="16"/>
    </row>
    <row r="27" customFormat="false" ht="23.85" hidden="false" customHeight="false" outlineLevel="0" collapsed="false">
      <c r="A27" s="14" t="n">
        <v>26</v>
      </c>
      <c r="B27" s="14" t="s">
        <v>242</v>
      </c>
      <c r="C27" s="14" t="s">
        <v>243</v>
      </c>
      <c r="D27" s="16"/>
    </row>
    <row r="28" customFormat="false" ht="23.85" hidden="false" customHeight="false" outlineLevel="0" collapsed="false">
      <c r="A28" s="14" t="n">
        <v>27</v>
      </c>
      <c r="B28" s="14" t="s">
        <v>250</v>
      </c>
      <c r="C28" s="14" t="s">
        <v>251</v>
      </c>
      <c r="D28" s="16"/>
    </row>
    <row r="29" customFormat="false" ht="35.05" hidden="false" customHeight="false" outlineLevel="0" collapsed="false">
      <c r="A29" s="14" t="n">
        <v>28</v>
      </c>
      <c r="B29" s="14" t="s">
        <v>258</v>
      </c>
      <c r="C29" s="14" t="s">
        <v>259</v>
      </c>
      <c r="D29" s="16"/>
    </row>
    <row r="30" customFormat="false" ht="23.85" hidden="false" customHeight="false" outlineLevel="0" collapsed="false">
      <c r="A30" s="14" t="n">
        <v>29</v>
      </c>
      <c r="B30" s="14" t="s">
        <v>265</v>
      </c>
      <c r="C30" s="14" t="s">
        <v>266</v>
      </c>
      <c r="D30" s="16"/>
    </row>
    <row r="31" customFormat="false" ht="15" hidden="false" customHeight="false" outlineLevel="0" collapsed="false">
      <c r="A31" s="14" t="n">
        <v>30</v>
      </c>
      <c r="B31" s="14" t="s">
        <v>273</v>
      </c>
      <c r="C31" s="14" t="s">
        <v>274</v>
      </c>
      <c r="D31" s="16"/>
    </row>
    <row r="32" customFormat="false" ht="15" hidden="false" customHeight="false" outlineLevel="0" collapsed="false">
      <c r="A32" s="14" t="n">
        <v>31</v>
      </c>
      <c r="B32" s="14" t="s">
        <v>281</v>
      </c>
      <c r="C32" s="14" t="s">
        <v>282</v>
      </c>
      <c r="D32" s="16"/>
    </row>
    <row r="33" customFormat="false" ht="15" hidden="false" customHeight="false" outlineLevel="0" collapsed="false">
      <c r="A33" s="14" t="n">
        <v>32</v>
      </c>
      <c r="B33" s="14" t="s">
        <v>285</v>
      </c>
      <c r="C33" s="14" t="s">
        <v>282</v>
      </c>
      <c r="D33" s="16"/>
    </row>
    <row r="34" customFormat="false" ht="23.85" hidden="false" customHeight="false" outlineLevel="0" collapsed="false">
      <c r="A34" s="14" t="n">
        <v>33</v>
      </c>
      <c r="B34" s="14" t="s">
        <v>313</v>
      </c>
      <c r="C34" s="14" t="s">
        <v>315</v>
      </c>
      <c r="D34" s="16"/>
    </row>
    <row r="35" customFormat="false" ht="23.85" hidden="false" customHeight="false" outlineLevel="0" collapsed="false">
      <c r="A35" s="14" t="n">
        <v>34</v>
      </c>
      <c r="B35" s="14" t="s">
        <v>323</v>
      </c>
      <c r="C35" s="14" t="s">
        <v>325</v>
      </c>
      <c r="D35" s="16"/>
    </row>
    <row r="36" customFormat="false" ht="46.25" hidden="false" customHeight="false" outlineLevel="0" collapsed="false">
      <c r="A36" s="14" t="n">
        <v>35</v>
      </c>
      <c r="B36" s="14" t="s">
        <v>333</v>
      </c>
      <c r="C36" s="14" t="s">
        <v>334</v>
      </c>
      <c r="D36" s="16"/>
    </row>
    <row r="37" customFormat="false" ht="23.85" hidden="false" customHeight="false" outlineLevel="0" collapsed="false">
      <c r="A37" s="14" t="n">
        <v>36</v>
      </c>
      <c r="B37" s="14" t="s">
        <v>341</v>
      </c>
      <c r="C37" s="14" t="s">
        <v>342</v>
      </c>
      <c r="D37" s="16"/>
    </row>
    <row r="38" customFormat="false" ht="15" hidden="false" customHeight="false" outlineLevel="0" collapsed="false">
      <c r="A38" s="14" t="n">
        <v>37</v>
      </c>
      <c r="B38" s="14" t="s">
        <v>349</v>
      </c>
      <c r="C38" s="14" t="s">
        <v>350</v>
      </c>
      <c r="D38" s="16"/>
    </row>
    <row r="39" customFormat="false" ht="23.85" hidden="false" customHeight="false" outlineLevel="0" collapsed="false">
      <c r="A39" s="14" t="n">
        <v>38</v>
      </c>
      <c r="B39" s="14" t="s">
        <v>357</v>
      </c>
      <c r="C39" s="14" t="s">
        <v>358</v>
      </c>
      <c r="D39" s="16"/>
    </row>
    <row r="40" customFormat="false" ht="15" hidden="false" customHeight="false" outlineLevel="0" collapsed="false">
      <c r="A40" s="14" t="n">
        <v>39</v>
      </c>
      <c r="B40" s="14" t="s">
        <v>366</v>
      </c>
      <c r="C40" s="14" t="s">
        <v>367</v>
      </c>
      <c r="D40" s="16"/>
    </row>
    <row r="41" customFormat="false" ht="15" hidden="false" customHeight="false" outlineLevel="0" collapsed="false">
      <c r="A41" s="14" t="n">
        <v>40</v>
      </c>
      <c r="B41" s="14" t="s">
        <v>370</v>
      </c>
      <c r="C41" s="14" t="s">
        <v>367</v>
      </c>
      <c r="D41" s="16"/>
    </row>
    <row r="42" customFormat="false" ht="15" hidden="false" customHeight="false" outlineLevel="0" collapsed="false">
      <c r="A42" s="14" t="n">
        <v>41</v>
      </c>
      <c r="B42" s="14" t="s">
        <v>373</v>
      </c>
      <c r="C42" s="14" t="s">
        <v>367</v>
      </c>
      <c r="D42" s="16"/>
    </row>
    <row r="43" customFormat="false" ht="15" hidden="false" customHeight="false" outlineLevel="0" collapsed="false">
      <c r="A43" s="14" t="n">
        <v>42</v>
      </c>
      <c r="B43" s="14" t="s">
        <v>376</v>
      </c>
      <c r="C43" s="14" t="s">
        <v>367</v>
      </c>
      <c r="D43" s="16"/>
    </row>
    <row r="44" customFormat="false" ht="23.85" hidden="false" customHeight="false" outlineLevel="0" collapsed="false">
      <c r="A44" s="14" t="n">
        <v>43</v>
      </c>
      <c r="B44" s="14" t="s">
        <v>379</v>
      </c>
      <c r="C44" s="14" t="s">
        <v>380</v>
      </c>
      <c r="D44" s="16"/>
    </row>
    <row r="45" customFormat="false" ht="23.85" hidden="false" customHeight="false" outlineLevel="0" collapsed="false">
      <c r="A45" s="14" t="n">
        <v>44</v>
      </c>
      <c r="B45" s="14" t="s">
        <v>387</v>
      </c>
      <c r="C45" s="14" t="s">
        <v>388</v>
      </c>
      <c r="D45" s="16"/>
    </row>
    <row r="46" customFormat="false" ht="15" hidden="false" customHeight="false" outlineLevel="0" collapsed="false">
      <c r="A46" s="14" t="n">
        <v>45</v>
      </c>
      <c r="B46" s="14" t="s">
        <v>395</v>
      </c>
      <c r="C46" s="14" t="s">
        <v>396</v>
      </c>
      <c r="D46" s="16"/>
    </row>
    <row r="47" customFormat="false" ht="23.85" hidden="false" customHeight="false" outlineLevel="0" collapsed="false">
      <c r="A47" s="14" t="n">
        <v>46</v>
      </c>
      <c r="B47" s="14" t="s">
        <v>400</v>
      </c>
      <c r="C47" s="14" t="s">
        <v>402</v>
      </c>
      <c r="D47" s="16"/>
    </row>
    <row r="48" customFormat="false" ht="15" hidden="false" customHeight="false" outlineLevel="0" collapsed="false">
      <c r="A48" s="14" t="n">
        <v>47</v>
      </c>
      <c r="B48" s="14" t="s">
        <v>409</v>
      </c>
      <c r="C48" s="14" t="s">
        <v>410</v>
      </c>
      <c r="D48" s="16"/>
    </row>
    <row r="49" customFormat="false" ht="15" hidden="false" customHeight="false" outlineLevel="0" collapsed="false">
      <c r="A49" s="14" t="n">
        <v>48</v>
      </c>
      <c r="B49" s="14" t="s">
        <v>417</v>
      </c>
      <c r="C49" s="14" t="s">
        <v>418</v>
      </c>
      <c r="D49" s="16"/>
    </row>
    <row r="50" customFormat="false" ht="15" hidden="false" customHeight="false" outlineLevel="0" collapsed="false">
      <c r="A50" s="14" t="n">
        <v>49</v>
      </c>
      <c r="B50" s="14" t="s">
        <v>425</v>
      </c>
      <c r="C50" s="14" t="s">
        <v>426</v>
      </c>
      <c r="D50"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 collapsed="false" customWidth="true" hidden="false" outlineLevel="0" max="3" min="3" style="0" width="70"/>
  </cols>
  <sheetData>
    <row r="1" customFormat="false" ht="15" hidden="false" customHeight="false" outlineLevel="0" collapsed="false">
      <c r="A1" s="15" t="s">
        <v>475</v>
      </c>
      <c r="B1" s="15" t="s">
        <v>476</v>
      </c>
      <c r="C1" s="15" t="s">
        <v>477</v>
      </c>
    </row>
    <row r="2" customFormat="false" ht="15" hidden="false" customHeight="false" outlineLevel="0" collapsed="false">
      <c r="A2" s="14" t="s">
        <v>478</v>
      </c>
      <c r="B2" s="14" t="s">
        <v>479</v>
      </c>
      <c r="C2" s="14" t="s">
        <v>35</v>
      </c>
    </row>
    <row r="3" customFormat="false" ht="15" hidden="false" customHeight="false" outlineLevel="0" collapsed="false">
      <c r="A3" s="14" t="s">
        <v>480</v>
      </c>
      <c r="B3" s="14" t="s">
        <v>481</v>
      </c>
      <c r="C3" s="14" t="s">
        <v>35</v>
      </c>
    </row>
    <row r="4" customFormat="false" ht="15" hidden="false" customHeight="false" outlineLevel="0" collapsed="false">
      <c r="A4" s="14" t="s">
        <v>482</v>
      </c>
      <c r="B4" s="14" t="s">
        <v>113</v>
      </c>
      <c r="C4" s="14" t="s">
        <v>483</v>
      </c>
    </row>
    <row r="5" customFormat="false" ht="15" hidden="false" customHeight="false" outlineLevel="0" collapsed="false">
      <c r="A5" s="14" t="s">
        <v>484</v>
      </c>
      <c r="B5" s="14" t="s">
        <v>120</v>
      </c>
      <c r="C5" s="14" t="s">
        <v>115</v>
      </c>
    </row>
    <row r="6" customFormat="false" ht="15" hidden="false" customHeight="false" outlineLevel="0" collapsed="false">
      <c r="A6" s="14" t="s">
        <v>485</v>
      </c>
      <c r="B6" s="14" t="s">
        <v>127</v>
      </c>
      <c r="C6" s="14" t="s">
        <v>122</v>
      </c>
    </row>
    <row r="7" customFormat="false" ht="15" hidden="false" customHeight="false" outlineLevel="0" collapsed="false">
      <c r="A7" s="14" t="s">
        <v>486</v>
      </c>
      <c r="B7" s="14" t="s">
        <v>134</v>
      </c>
      <c r="C7" s="14" t="s">
        <v>487</v>
      </c>
    </row>
    <row r="8" customFormat="false" ht="15" hidden="false" customHeight="false" outlineLevel="0" collapsed="false">
      <c r="A8" s="14" t="s">
        <v>488</v>
      </c>
      <c r="B8" s="14" t="s">
        <v>141</v>
      </c>
      <c r="C8" s="14" t="s">
        <v>136</v>
      </c>
    </row>
    <row r="9" customFormat="false" ht="15" hidden="false" customHeight="false" outlineLevel="0" collapsed="false">
      <c r="A9" s="14" t="s">
        <v>489</v>
      </c>
      <c r="B9" s="14" t="s">
        <v>256</v>
      </c>
      <c r="C9" s="14" t="s">
        <v>250</v>
      </c>
    </row>
    <row r="10" customFormat="false" ht="15" hidden="false" customHeight="false" outlineLevel="0" collapsed="false">
      <c r="A10" s="14" t="s">
        <v>490</v>
      </c>
      <c r="B10" s="14" t="s">
        <v>216</v>
      </c>
      <c r="C10" s="14" t="s">
        <v>210</v>
      </c>
    </row>
    <row r="11" customFormat="false" ht="15" hidden="false" customHeight="false" outlineLevel="0" collapsed="false">
      <c r="A11" s="14" t="s">
        <v>491</v>
      </c>
      <c r="B11" s="14" t="s">
        <v>224</v>
      </c>
      <c r="C11" s="14" t="s">
        <v>492</v>
      </c>
    </row>
    <row r="12" customFormat="false" ht="15" hidden="false" customHeight="false" outlineLevel="0" collapsed="false">
      <c r="A12" s="14" t="s">
        <v>493</v>
      </c>
      <c r="B12" s="14" t="s">
        <v>232</v>
      </c>
      <c r="C12" s="14" t="s">
        <v>226</v>
      </c>
    </row>
    <row r="13" customFormat="false" ht="15" hidden="false" customHeight="false" outlineLevel="0" collapsed="false">
      <c r="A13" s="14" t="s">
        <v>494</v>
      </c>
      <c r="B13" s="14" t="s">
        <v>240</v>
      </c>
      <c r="C13" s="14" t="s">
        <v>234</v>
      </c>
    </row>
    <row r="14" customFormat="false" ht="15" hidden="false" customHeight="false" outlineLevel="0" collapsed="false">
      <c r="A14" s="14" t="s">
        <v>495</v>
      </c>
      <c r="B14" s="14" t="s">
        <v>248</v>
      </c>
      <c r="C14" s="14" t="s">
        <v>242</v>
      </c>
    </row>
    <row r="15" customFormat="false" ht="15" hidden="false" customHeight="false" outlineLevel="0" collapsed="false">
      <c r="A15" s="14" t="s">
        <v>496</v>
      </c>
      <c r="B15" s="14" t="s">
        <v>415</v>
      </c>
      <c r="C15" s="14" t="s">
        <v>409</v>
      </c>
    </row>
    <row r="16" customFormat="false" ht="15" hidden="false" customHeight="false" outlineLevel="0" collapsed="false">
      <c r="A16" s="14" t="s">
        <v>497</v>
      </c>
      <c r="B16" s="14" t="s">
        <v>423</v>
      </c>
      <c r="C16" s="14" t="s">
        <v>417</v>
      </c>
    </row>
    <row r="17" customFormat="false" ht="15" hidden="false" customHeight="false" outlineLevel="0" collapsed="false">
      <c r="A17" s="14" t="s">
        <v>498</v>
      </c>
      <c r="B17" s="14" t="s">
        <v>149</v>
      </c>
      <c r="C17" s="14" t="s">
        <v>143</v>
      </c>
    </row>
    <row r="18" customFormat="false" ht="15" hidden="false" customHeight="false" outlineLevel="0" collapsed="false">
      <c r="A18" s="14" t="s">
        <v>499</v>
      </c>
      <c r="B18" s="14" t="s">
        <v>500</v>
      </c>
      <c r="C18" s="14" t="s">
        <v>501</v>
      </c>
    </row>
    <row r="19" customFormat="false" ht="15" hidden="false" customHeight="false" outlineLevel="0" collapsed="false">
      <c r="A19" s="14" t="s">
        <v>502</v>
      </c>
      <c r="B19" s="14" t="s">
        <v>503</v>
      </c>
      <c r="C19" s="14" t="s">
        <v>504</v>
      </c>
    </row>
    <row r="20" customFormat="false" ht="15" hidden="false" customHeight="false" outlineLevel="0" collapsed="false">
      <c r="A20" s="14" t="s">
        <v>505</v>
      </c>
      <c r="B20" s="14" t="s">
        <v>506</v>
      </c>
      <c r="C20" s="14" t="s">
        <v>265</v>
      </c>
    </row>
    <row r="21" customFormat="false" ht="23.85" hidden="false" customHeight="false" outlineLevel="0" collapsed="false">
      <c r="A21" s="14" t="s">
        <v>507</v>
      </c>
      <c r="B21" s="14" t="s">
        <v>508</v>
      </c>
      <c r="C21" s="14" t="s">
        <v>509</v>
      </c>
    </row>
    <row r="22" customFormat="false" ht="15" hidden="false" customHeight="false" outlineLevel="0" collapsed="false">
      <c r="A22" s="14" t="s">
        <v>510</v>
      </c>
      <c r="B22" s="14" t="s">
        <v>511</v>
      </c>
      <c r="C22" s="14" t="s">
        <v>174</v>
      </c>
    </row>
    <row r="23" customFormat="false" ht="15" hidden="false" customHeight="false" outlineLevel="0" collapsed="false">
      <c r="A23" s="14" t="s">
        <v>512</v>
      </c>
      <c r="B23" s="14" t="s">
        <v>513</v>
      </c>
      <c r="C23" s="14" t="s">
        <v>157</v>
      </c>
    </row>
    <row r="24" customFormat="false" ht="15" hidden="false" customHeight="false" outlineLevel="0" collapsed="false">
      <c r="A24" s="14" t="s">
        <v>514</v>
      </c>
      <c r="B24" s="14" t="s">
        <v>515</v>
      </c>
      <c r="C24" s="14" t="s">
        <v>182</v>
      </c>
    </row>
    <row r="25" customFormat="false" ht="15" hidden="false" customHeight="false" outlineLevel="0" collapsed="false">
      <c r="A25" s="14" t="s">
        <v>516</v>
      </c>
      <c r="B25" s="14" t="s">
        <v>517</v>
      </c>
      <c r="C25" s="14" t="s">
        <v>166</v>
      </c>
    </row>
    <row r="26" customFormat="false" ht="15" hidden="false" customHeight="false" outlineLevel="0" collapsed="false">
      <c r="A26" s="14" t="s">
        <v>518</v>
      </c>
      <c r="B26" s="14" t="s">
        <v>355</v>
      </c>
      <c r="C26" s="14" t="s">
        <v>519</v>
      </c>
    </row>
    <row r="27" customFormat="false" ht="15" hidden="false" customHeight="false" outlineLevel="0" collapsed="false">
      <c r="A27" s="14" t="s">
        <v>520</v>
      </c>
      <c r="B27" s="14" t="s">
        <v>521</v>
      </c>
      <c r="C27" s="14" t="s">
        <v>357</v>
      </c>
    </row>
    <row r="28" customFormat="false" ht="15" hidden="false" customHeight="false" outlineLevel="0" collapsed="false">
      <c r="A28" s="14" t="s">
        <v>522</v>
      </c>
      <c r="B28" s="14" t="s">
        <v>523</v>
      </c>
      <c r="C28" s="14" t="s">
        <v>313</v>
      </c>
    </row>
    <row r="29" customFormat="false" ht="15" hidden="false" customHeight="false" outlineLevel="0" collapsed="false">
      <c r="A29" s="14" t="s">
        <v>524</v>
      </c>
      <c r="B29" s="14" t="s">
        <v>525</v>
      </c>
      <c r="C29" s="14" t="s">
        <v>313</v>
      </c>
    </row>
    <row r="30" customFormat="false" ht="15" hidden="false" customHeight="false" outlineLevel="0" collapsed="false">
      <c r="A30" s="14" t="s">
        <v>526</v>
      </c>
      <c r="B30" s="14" t="s">
        <v>527</v>
      </c>
      <c r="C30" s="14" t="s">
        <v>357</v>
      </c>
    </row>
    <row r="31" customFormat="false" ht="15" hidden="false" customHeight="false" outlineLevel="0" collapsed="false">
      <c r="A31" s="14" t="s">
        <v>528</v>
      </c>
      <c r="B31" s="14" t="s">
        <v>529</v>
      </c>
      <c r="C31" s="14" t="s">
        <v>341</v>
      </c>
    </row>
    <row r="32" customFormat="false" ht="15" hidden="false" customHeight="false" outlineLevel="0" collapsed="false">
      <c r="A32" s="14" t="s">
        <v>530</v>
      </c>
      <c r="B32" s="14" t="s">
        <v>195</v>
      </c>
      <c r="C32" s="14" t="s">
        <v>531</v>
      </c>
    </row>
    <row r="33" customFormat="false" ht="15" hidden="false" customHeight="false" outlineLevel="0" collapsed="false">
      <c r="A33" s="14" t="s">
        <v>289</v>
      </c>
      <c r="B33" s="14" t="s">
        <v>532</v>
      </c>
      <c r="C33" s="14" t="s">
        <v>288</v>
      </c>
    </row>
    <row r="34" customFormat="false" ht="15" hidden="false" customHeight="false" outlineLevel="0" collapsed="false">
      <c r="A34" s="14" t="s">
        <v>533</v>
      </c>
      <c r="B34" s="14" t="s">
        <v>534</v>
      </c>
      <c r="C34" s="14" t="s">
        <v>288</v>
      </c>
    </row>
    <row r="35" customFormat="false" ht="15" hidden="false" customHeight="false" outlineLevel="0" collapsed="false">
      <c r="A35" s="14" t="s">
        <v>535</v>
      </c>
      <c r="B35" s="14" t="s">
        <v>536</v>
      </c>
      <c r="C35" s="14" t="s">
        <v>288</v>
      </c>
    </row>
    <row r="36" customFormat="false" ht="15" hidden="false" customHeight="false" outlineLevel="0" collapsed="false">
      <c r="A36" s="14" t="s">
        <v>537</v>
      </c>
      <c r="B36" s="14" t="s">
        <v>331</v>
      </c>
      <c r="C36" s="14" t="s">
        <v>323</v>
      </c>
    </row>
    <row r="37" customFormat="false" ht="15" hidden="false" customHeight="false" outlineLevel="0" collapsed="false">
      <c r="A37" s="14" t="s">
        <v>538</v>
      </c>
      <c r="B37" s="14" t="s">
        <v>539</v>
      </c>
      <c r="C37" s="14" t="s">
        <v>400</v>
      </c>
    </row>
    <row r="38" customFormat="false" ht="15" hidden="false" customHeight="false" outlineLevel="0" collapsed="false">
      <c r="A38" s="14" t="s">
        <v>540</v>
      </c>
      <c r="B38" s="14" t="s">
        <v>541</v>
      </c>
      <c r="C38" s="14" t="s">
        <v>400</v>
      </c>
    </row>
    <row r="39" customFormat="false" ht="15" hidden="false" customHeight="false" outlineLevel="0" collapsed="false">
      <c r="A39" s="14" t="s">
        <v>542</v>
      </c>
      <c r="B39" s="14" t="s">
        <v>543</v>
      </c>
      <c r="C39" s="14" t="s">
        <v>75</v>
      </c>
    </row>
    <row r="40" customFormat="false" ht="15" hidden="false" customHeight="false" outlineLevel="0" collapsed="false">
      <c r="A40" s="14" t="s">
        <v>544</v>
      </c>
      <c r="B40" s="14" t="s">
        <v>545</v>
      </c>
      <c r="C40" s="14" t="s">
        <v>197</v>
      </c>
    </row>
    <row r="41" customFormat="false" ht="15" hidden="false" customHeight="false" outlineLevel="0" collapsed="false">
      <c r="A41" s="14" t="s">
        <v>546</v>
      </c>
      <c r="B41" s="14" t="s">
        <v>547</v>
      </c>
      <c r="C41" s="14" t="s">
        <v>305</v>
      </c>
    </row>
    <row r="42" customFormat="false" ht="15" hidden="false" customHeight="false" outlineLevel="0" collapsed="false">
      <c r="A42" s="14" t="s">
        <v>548</v>
      </c>
      <c r="B42" s="14" t="s">
        <v>549</v>
      </c>
      <c r="C42" s="14" t="s">
        <v>297</v>
      </c>
    </row>
    <row r="43" customFormat="false" ht="23.85" hidden="false" customHeight="false" outlineLevel="0" collapsed="false">
      <c r="A43" s="14" t="s">
        <v>550</v>
      </c>
      <c r="B43" s="14" t="s">
        <v>551</v>
      </c>
      <c r="C43" s="14" t="s">
        <v>552</v>
      </c>
    </row>
    <row r="44" customFormat="false" ht="15" hidden="false" customHeight="false" outlineLevel="0" collapsed="false">
      <c r="A44" s="14" t="s">
        <v>553</v>
      </c>
      <c r="B44" s="14" t="s">
        <v>554</v>
      </c>
      <c r="C44" s="14" t="s">
        <v>379</v>
      </c>
    </row>
    <row r="45" customFormat="false" ht="23.85" hidden="false" customHeight="false" outlineLevel="0" collapsed="false">
      <c r="A45" s="14" t="s">
        <v>555</v>
      </c>
      <c r="B45" s="14" t="s">
        <v>556</v>
      </c>
      <c r="C45" s="14" t="s">
        <v>387</v>
      </c>
    </row>
    <row r="46" customFormat="false" ht="15" hidden="false" customHeight="false" outlineLevel="0" collapsed="false">
      <c r="A46" s="14" t="s">
        <v>557</v>
      </c>
      <c r="B46" s="14" t="s">
        <v>97</v>
      </c>
      <c r="C46" s="14" t="s">
        <v>91</v>
      </c>
    </row>
    <row r="47" customFormat="false" ht="15" hidden="false" customHeight="false" outlineLevel="0" collapsed="false">
      <c r="A47" s="14" t="s">
        <v>558</v>
      </c>
      <c r="B47" s="14" t="s">
        <v>559</v>
      </c>
      <c r="C47" s="14" t="s">
        <v>85</v>
      </c>
    </row>
    <row r="48" customFormat="false" ht="46.25" hidden="false" customHeight="false" outlineLevel="0" collapsed="false">
      <c r="A48" s="14" t="s">
        <v>560</v>
      </c>
      <c r="B48" s="14" t="s">
        <v>55</v>
      </c>
      <c r="C48" s="14" t="s">
        <v>561</v>
      </c>
    </row>
    <row r="49" customFormat="false" ht="15" hidden="false" customHeight="false" outlineLevel="0" collapsed="false">
      <c r="A49" s="14" t="s">
        <v>562</v>
      </c>
      <c r="B49" s="14" t="s">
        <v>339</v>
      </c>
      <c r="C49" s="14" t="s">
        <v>333</v>
      </c>
    </row>
    <row r="50" customFormat="false" ht="23.85" hidden="false" customHeight="false" outlineLevel="0" collapsed="false">
      <c r="A50" s="14" t="s">
        <v>562</v>
      </c>
      <c r="B50" s="14" t="s">
        <v>563</v>
      </c>
      <c r="C50" s="14" t="s">
        <v>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2026-10-07T05:13:52Z</dcterms:created>
  <dc:creator>openpyxl</dc:creator>
  <dc:description/>
  <dc:language>en-US</dc:language>
  <cp:lastModifiedBy/>
  <dcterms:modified xsi:type="dcterms:W3CDTF">2026-10-07T05:13:52Z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